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TREE_OF_THOUGHT\TRAINING\data\DEXA\"/>
    </mc:Choice>
  </mc:AlternateContent>
  <bookViews>
    <workbookView xWindow="0" yWindow="0" windowWidth="26760" windowHeight="9315" activeTab="3"/>
  </bookViews>
  <sheets>
    <sheet name="27MAY2025" sheetId="1" r:id="rId1"/>
    <sheet name="26AUG2025" sheetId="3" r:id="rId2"/>
    <sheet name="19DEC2025" sheetId="4" r:id="rId3"/>
    <sheet name="02APR2026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5" l="1"/>
  <c r="C17" i="5"/>
  <c r="D17" i="4"/>
  <c r="C17" i="4"/>
  <c r="D17" i="3"/>
  <c r="C17" i="3"/>
</calcChain>
</file>

<file path=xl/sharedStrings.xml><?xml version="1.0" encoding="utf-8"?>
<sst xmlns="http://schemas.openxmlformats.org/spreadsheetml/2006/main" count="324" uniqueCount="49">
  <si>
    <t>REGION</t>
    <phoneticPr fontId="1" type="noConversion"/>
  </si>
  <si>
    <t>L ARM</t>
    <phoneticPr fontId="1" type="noConversion"/>
  </si>
  <si>
    <t>R ARM</t>
    <phoneticPr fontId="1" type="noConversion"/>
  </si>
  <si>
    <t>L RIBS</t>
    <phoneticPr fontId="1" type="noConversion"/>
  </si>
  <si>
    <t>R RIBS</t>
    <phoneticPr fontId="1" type="noConversion"/>
  </si>
  <si>
    <t>T SPINE</t>
    <phoneticPr fontId="1" type="noConversion"/>
  </si>
  <si>
    <t>L SPINE</t>
    <phoneticPr fontId="1" type="noConversion"/>
  </si>
  <si>
    <t>PELVIS</t>
    <phoneticPr fontId="1" type="noConversion"/>
  </si>
  <si>
    <t>L LEG</t>
    <phoneticPr fontId="1" type="noConversion"/>
  </si>
  <si>
    <t>R LEG</t>
    <phoneticPr fontId="1" type="noConversion"/>
  </si>
  <si>
    <t>SUBTOTAL</t>
    <phoneticPr fontId="1" type="noConversion"/>
  </si>
  <si>
    <t>HEAD</t>
    <phoneticPr fontId="1" type="noConversion"/>
  </si>
  <si>
    <t>TOTAL</t>
    <phoneticPr fontId="1" type="noConversion"/>
  </si>
  <si>
    <t>AREA (cm2)</t>
    <phoneticPr fontId="1" type="noConversion"/>
  </si>
  <si>
    <t>BMC(g)</t>
    <phoneticPr fontId="1" type="noConversion"/>
  </si>
  <si>
    <t>BMD(g/cm2)</t>
    <phoneticPr fontId="1" type="noConversion"/>
  </si>
  <si>
    <t>T-score</t>
    <phoneticPr fontId="1" type="noConversion"/>
  </si>
  <si>
    <t>Z-score</t>
    <phoneticPr fontId="1" type="noConversion"/>
  </si>
  <si>
    <t>HEIGHT</t>
    <phoneticPr fontId="1" type="noConversion"/>
  </si>
  <si>
    <t>WEIGHT</t>
    <phoneticPr fontId="1" type="noConversion"/>
  </si>
  <si>
    <t>FAT MASS(g)</t>
    <phoneticPr fontId="1" type="noConversion"/>
  </si>
  <si>
    <t>LEAN+BMC (g)</t>
    <phoneticPr fontId="1" type="noConversion"/>
  </si>
  <si>
    <t>TOTAL MASS (g)</t>
    <phoneticPr fontId="1" type="noConversion"/>
  </si>
  <si>
    <t>% FAT</t>
    <phoneticPr fontId="1" type="noConversion"/>
  </si>
  <si>
    <t>% FAT YN</t>
    <phoneticPr fontId="1" type="noConversion"/>
  </si>
  <si>
    <t>PERCENTILE AM</t>
    <phoneticPr fontId="1" type="noConversion"/>
  </si>
  <si>
    <t>TRUNK</t>
    <phoneticPr fontId="1" type="noConversion"/>
  </si>
  <si>
    <t>ANDROID (A)</t>
    <phoneticPr fontId="1" type="noConversion"/>
  </si>
  <si>
    <t>GYNOID (G)</t>
    <phoneticPr fontId="1" type="noConversion"/>
  </si>
  <si>
    <t>ADIPOSE INDICES</t>
    <phoneticPr fontId="1" type="noConversion"/>
  </si>
  <si>
    <t>MEASURE</t>
    <phoneticPr fontId="1" type="noConversion"/>
  </si>
  <si>
    <t>RESULT</t>
    <phoneticPr fontId="1" type="noConversion"/>
  </si>
  <si>
    <t>PERCENTILE YN</t>
    <phoneticPr fontId="1" type="noConversion"/>
  </si>
  <si>
    <t>TOTAL BODY % FAT</t>
    <phoneticPr fontId="1" type="noConversion"/>
  </si>
  <si>
    <t>FAT MASS/HEIGHT^2 (kg/m2)</t>
    <phoneticPr fontId="1" type="noConversion"/>
  </si>
  <si>
    <t>ANDROID/GYNOID RATIO</t>
    <phoneticPr fontId="1" type="noConversion"/>
  </si>
  <si>
    <t>% FAT TRUNK/%FAT LEGS</t>
    <phoneticPr fontId="1" type="noConversion"/>
  </si>
  <si>
    <t>TRUNK/LIMB FAT MASS RATIO</t>
    <phoneticPr fontId="1" type="noConversion"/>
  </si>
  <si>
    <t>EST. VAT MASS (g)</t>
    <phoneticPr fontId="1" type="noConversion"/>
  </si>
  <si>
    <t>EST. VAT VOLUME (cm3)</t>
    <phoneticPr fontId="1" type="noConversion"/>
  </si>
  <si>
    <t>EST. VAT AREA (cm2)</t>
    <phoneticPr fontId="1" type="noConversion"/>
  </si>
  <si>
    <t>LEAN INDICES</t>
    <phoneticPr fontId="1" type="noConversion"/>
  </si>
  <si>
    <t>LEAN/HEIGHT^2(kg/m2)</t>
    <phoneticPr fontId="1" type="noConversion"/>
  </si>
  <si>
    <t>APPEN. LEAN/HEIGHT^2 (kg/m2)</t>
    <phoneticPr fontId="1" type="noConversion"/>
  </si>
  <si>
    <t>DXA RESULTS SUMMARY</t>
    <phoneticPr fontId="1" type="noConversion"/>
  </si>
  <si>
    <t>FAT (g)</t>
    <phoneticPr fontId="1" type="noConversion"/>
  </si>
  <si>
    <t>LEAN MASS (g)</t>
    <phoneticPr fontId="1" type="noConversion"/>
  </si>
  <si>
    <t>LEAN + BMC (g)</t>
    <phoneticPr fontId="1" type="noConversion"/>
  </si>
  <si>
    <t>BODY COMPOSITION RESULTS SUMMARY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</si>
</sst>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15" fontId="2" fillId="0" borderId="0" xfId="0" applyNumberFormat="1" applyFont="1">
      <alignment vertical="center"/>
    </xf>
    <xf numFmtId="0" fontId="4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2" fillId="0" borderId="4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4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0" fillId="0" borderId="0" xfId="0" applyFill="1" applyBorder="1">
      <alignment vertical="center"/>
    </xf>
    <xf numFmtId="0" fontId="5" fillId="0" borderId="7" xfId="0" applyFont="1" applyBorder="1">
      <alignment vertical="center"/>
    </xf>
    <xf numFmtId="0" fontId="5" fillId="0" borderId="0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18"/>
  <sheetViews>
    <sheetView workbookViewId="0">
      <selection activeCell="K13" sqref="K13"/>
    </sheetView>
  </sheetViews>
  <sheetFormatPr defaultRowHeight="16.5" x14ac:dyDescent="0.3"/>
  <cols>
    <col min="2" max="2" width="12.625" customWidth="1"/>
    <col min="3" max="3" width="11.625" bestFit="1" customWidth="1"/>
    <col min="4" max="4" width="8" bestFit="1" customWidth="1"/>
    <col min="5" max="5" width="12.625" bestFit="1" customWidth="1"/>
    <col min="9" max="9" width="15.375" customWidth="1"/>
    <col min="10" max="10" width="12.875" bestFit="1" customWidth="1"/>
    <col min="11" max="11" width="15" bestFit="1" customWidth="1"/>
    <col min="12" max="12" width="16.375" bestFit="1" customWidth="1"/>
    <col min="13" max="13" width="6.875" bestFit="1" customWidth="1"/>
    <col min="14" max="14" width="9.875" bestFit="1" customWidth="1"/>
    <col min="15" max="15" width="16" bestFit="1" customWidth="1"/>
    <col min="17" max="17" width="32.75" customWidth="1"/>
    <col min="19" max="19" width="15.25" bestFit="1" customWidth="1"/>
    <col min="20" max="20" width="16" bestFit="1" customWidth="1"/>
    <col min="22" max="22" width="16.125" customWidth="1"/>
    <col min="24" max="24" width="8.25" bestFit="1" customWidth="1"/>
    <col min="25" max="25" width="17" bestFit="1" customWidth="1"/>
    <col min="26" max="26" width="17.125" bestFit="1" customWidth="1"/>
    <col min="27" max="27" width="17.375" bestFit="1" customWidth="1"/>
  </cols>
  <sheetData>
    <row r="1" spans="2:28" ht="17.25" thickBot="1" x14ac:dyDescent="0.35">
      <c r="B1" s="1">
        <v>45804</v>
      </c>
    </row>
    <row r="2" spans="2:28" x14ac:dyDescent="0.3">
      <c r="B2" s="2" t="s">
        <v>44</v>
      </c>
      <c r="C2" s="3"/>
      <c r="D2" s="3"/>
      <c r="E2" s="3"/>
      <c r="F2" s="3"/>
      <c r="G2" s="4"/>
      <c r="I2" s="2" t="s">
        <v>48</v>
      </c>
      <c r="J2" s="3"/>
      <c r="K2" s="3"/>
      <c r="L2" s="3"/>
      <c r="M2" s="3"/>
      <c r="N2" s="3"/>
      <c r="O2" s="4"/>
      <c r="Q2" s="2" t="s">
        <v>29</v>
      </c>
      <c r="R2" s="3"/>
      <c r="S2" s="3"/>
      <c r="T2" s="4"/>
      <c r="V2" s="2" t="s">
        <v>44</v>
      </c>
      <c r="W2" s="3"/>
      <c r="X2" s="3"/>
      <c r="Y2" s="3"/>
      <c r="Z2" s="3"/>
      <c r="AA2" s="3"/>
      <c r="AB2" s="4"/>
    </row>
    <row r="3" spans="2:28" x14ac:dyDescent="0.3">
      <c r="B3" s="5" t="s">
        <v>18</v>
      </c>
      <c r="C3" s="6">
        <v>172.8</v>
      </c>
      <c r="D3" s="6"/>
      <c r="E3" s="6"/>
      <c r="F3" s="6"/>
      <c r="G3" s="7"/>
      <c r="I3" s="5" t="s">
        <v>18</v>
      </c>
      <c r="J3" s="6">
        <v>172.8</v>
      </c>
      <c r="K3" s="6"/>
      <c r="L3" s="6"/>
      <c r="M3" s="6"/>
      <c r="N3" s="6"/>
      <c r="O3" s="7"/>
      <c r="Q3" s="5" t="s">
        <v>18</v>
      </c>
      <c r="R3" s="6">
        <v>172.8</v>
      </c>
      <c r="S3" s="6"/>
      <c r="T3" s="7"/>
      <c r="V3" s="5" t="s">
        <v>18</v>
      </c>
      <c r="W3" s="6">
        <v>172.8</v>
      </c>
      <c r="X3" s="6"/>
      <c r="Y3" s="6"/>
      <c r="Z3" s="6"/>
      <c r="AA3" s="6"/>
      <c r="AB3" s="7"/>
    </row>
    <row r="4" spans="2:28" x14ac:dyDescent="0.3">
      <c r="B4" s="5" t="s">
        <v>19</v>
      </c>
      <c r="C4" s="6">
        <v>81.099999999999994</v>
      </c>
      <c r="D4" s="6"/>
      <c r="E4" s="6"/>
      <c r="F4" s="6"/>
      <c r="G4" s="7"/>
      <c r="I4" s="5" t="s">
        <v>19</v>
      </c>
      <c r="J4" s="6">
        <v>81.099999999999994</v>
      </c>
      <c r="K4" s="6"/>
      <c r="L4" s="6"/>
      <c r="M4" s="6"/>
      <c r="N4" s="6"/>
      <c r="O4" s="7"/>
      <c r="Q4" s="5" t="s">
        <v>19</v>
      </c>
      <c r="R4" s="6">
        <v>81.099999999999994</v>
      </c>
      <c r="S4" s="6"/>
      <c r="T4" s="7"/>
      <c r="V4" s="5" t="s">
        <v>19</v>
      </c>
      <c r="W4" s="6">
        <v>81.099999999999994</v>
      </c>
      <c r="X4" s="6"/>
      <c r="Y4" s="6"/>
      <c r="Z4" s="6"/>
      <c r="AA4" s="6"/>
      <c r="AB4" s="7"/>
    </row>
    <row r="5" spans="2:28" x14ac:dyDescent="0.3">
      <c r="B5" s="8" t="s">
        <v>0</v>
      </c>
      <c r="C5" s="9" t="s">
        <v>13</v>
      </c>
      <c r="D5" s="9" t="s">
        <v>14</v>
      </c>
      <c r="E5" s="9" t="s">
        <v>15</v>
      </c>
      <c r="F5" s="9" t="s">
        <v>16</v>
      </c>
      <c r="G5" s="10" t="s">
        <v>17</v>
      </c>
      <c r="I5" s="8" t="s">
        <v>0</v>
      </c>
      <c r="J5" s="9" t="s">
        <v>20</v>
      </c>
      <c r="K5" s="9" t="s">
        <v>21</v>
      </c>
      <c r="L5" s="9" t="s">
        <v>22</v>
      </c>
      <c r="M5" s="9" t="s">
        <v>23</v>
      </c>
      <c r="N5" s="9" t="s">
        <v>24</v>
      </c>
      <c r="O5" s="10" t="s">
        <v>25</v>
      </c>
      <c r="Q5" s="8" t="s">
        <v>30</v>
      </c>
      <c r="R5" s="9" t="s">
        <v>31</v>
      </c>
      <c r="S5" s="9" t="s">
        <v>32</v>
      </c>
      <c r="T5" s="10" t="s">
        <v>25</v>
      </c>
      <c r="V5" s="8" t="s">
        <v>0</v>
      </c>
      <c r="W5" s="9" t="s">
        <v>14</v>
      </c>
      <c r="X5" s="9" t="s">
        <v>45</v>
      </c>
      <c r="Y5" s="9" t="s">
        <v>46</v>
      </c>
      <c r="Z5" s="9" t="s">
        <v>47</v>
      </c>
      <c r="AA5" s="9" t="s">
        <v>22</v>
      </c>
      <c r="AB5" s="10" t="s">
        <v>23</v>
      </c>
    </row>
    <row r="6" spans="2:28" x14ac:dyDescent="0.3">
      <c r="B6" s="8" t="s">
        <v>1</v>
      </c>
      <c r="C6" s="6">
        <v>224.59</v>
      </c>
      <c r="D6" s="6">
        <v>187.68</v>
      </c>
      <c r="E6" s="6">
        <v>0.83599999999999997</v>
      </c>
      <c r="F6" s="6"/>
      <c r="G6" s="7"/>
      <c r="I6" s="8" t="s">
        <v>1</v>
      </c>
      <c r="J6" s="6">
        <v>1254</v>
      </c>
      <c r="K6" s="6">
        <v>3459</v>
      </c>
      <c r="L6" s="6">
        <v>4713</v>
      </c>
      <c r="M6" s="6">
        <v>26.6</v>
      </c>
      <c r="N6" s="6">
        <v>74</v>
      </c>
      <c r="O6" s="7">
        <v>71</v>
      </c>
      <c r="Q6" s="8" t="s">
        <v>33</v>
      </c>
      <c r="R6" s="6">
        <v>27</v>
      </c>
      <c r="S6" s="6">
        <v>64</v>
      </c>
      <c r="T6" s="7">
        <v>56</v>
      </c>
      <c r="V6" s="8" t="s">
        <v>1</v>
      </c>
      <c r="W6" s="6">
        <v>187.68</v>
      </c>
      <c r="X6" s="6">
        <v>1254.5</v>
      </c>
      <c r="Y6" s="6">
        <v>3271.1</v>
      </c>
      <c r="Z6" s="6">
        <v>3458.8</v>
      </c>
      <c r="AA6" s="6">
        <v>4713.2</v>
      </c>
      <c r="AB6" s="15">
        <v>26.6</v>
      </c>
    </row>
    <row r="7" spans="2:28" x14ac:dyDescent="0.3">
      <c r="B7" s="8" t="s">
        <v>2</v>
      </c>
      <c r="C7" s="6">
        <v>246.32</v>
      </c>
      <c r="D7" s="6">
        <v>224.32</v>
      </c>
      <c r="E7" s="6">
        <v>0.91100000000000003</v>
      </c>
      <c r="F7" s="6"/>
      <c r="G7" s="7"/>
      <c r="I7" s="8" t="s">
        <v>2</v>
      </c>
      <c r="J7" s="6">
        <v>1340</v>
      </c>
      <c r="K7" s="6">
        <v>3873</v>
      </c>
      <c r="L7" s="6">
        <v>5213</v>
      </c>
      <c r="M7" s="6">
        <v>25.7</v>
      </c>
      <c r="N7" s="6">
        <v>69</v>
      </c>
      <c r="O7" s="7">
        <v>64</v>
      </c>
      <c r="Q7" s="8" t="s">
        <v>34</v>
      </c>
      <c r="R7" s="6">
        <v>7.2</v>
      </c>
      <c r="S7" s="6">
        <v>61</v>
      </c>
      <c r="T7" s="7">
        <v>54</v>
      </c>
      <c r="V7" s="8" t="s">
        <v>2</v>
      </c>
      <c r="W7" s="6">
        <v>224.32</v>
      </c>
      <c r="X7" s="6">
        <v>1339.7</v>
      </c>
      <c r="Y7" s="6">
        <v>3648.7</v>
      </c>
      <c r="Z7" s="6">
        <v>3873</v>
      </c>
      <c r="AA7" s="6">
        <v>5212.8</v>
      </c>
      <c r="AB7" s="7">
        <v>25.7</v>
      </c>
    </row>
    <row r="8" spans="2:28" x14ac:dyDescent="0.3">
      <c r="B8" s="8" t="s">
        <v>3</v>
      </c>
      <c r="C8" s="6">
        <v>151.66999999999999</v>
      </c>
      <c r="D8" s="6">
        <v>97.69</v>
      </c>
      <c r="E8" s="6">
        <v>0.64400000000000002</v>
      </c>
      <c r="F8" s="6"/>
      <c r="G8" s="7"/>
      <c r="I8" s="8" t="s">
        <v>26</v>
      </c>
      <c r="J8" s="6">
        <v>10665</v>
      </c>
      <c r="K8" s="6">
        <v>27861</v>
      </c>
      <c r="L8" s="6">
        <v>38526</v>
      </c>
      <c r="M8" s="6">
        <v>27.7</v>
      </c>
      <c r="N8" s="6">
        <v>65</v>
      </c>
      <c r="O8" s="7">
        <v>55</v>
      </c>
      <c r="Q8" s="8" t="s">
        <v>35</v>
      </c>
      <c r="R8" s="6">
        <v>1.08</v>
      </c>
      <c r="S8" s="6"/>
      <c r="T8" s="7"/>
      <c r="V8" s="8" t="s">
        <v>26</v>
      </c>
      <c r="W8" s="6">
        <v>733.81</v>
      </c>
      <c r="X8" s="6">
        <v>10664.5</v>
      </c>
      <c r="Y8" s="6">
        <v>27127.599999999999</v>
      </c>
      <c r="Z8" s="6">
        <v>27861.4</v>
      </c>
      <c r="AA8" s="6">
        <v>38525.9</v>
      </c>
      <c r="AB8" s="7">
        <v>27.7</v>
      </c>
    </row>
    <row r="9" spans="2:28" x14ac:dyDescent="0.3">
      <c r="B9" s="8" t="s">
        <v>4</v>
      </c>
      <c r="C9" s="6">
        <v>171.45</v>
      </c>
      <c r="D9" s="6">
        <v>103.03</v>
      </c>
      <c r="E9" s="6">
        <v>0.60099999999999998</v>
      </c>
      <c r="F9" s="6"/>
      <c r="G9" s="7"/>
      <c r="I9" s="8" t="s">
        <v>8</v>
      </c>
      <c r="J9" s="6">
        <v>3595</v>
      </c>
      <c r="K9" s="6">
        <v>9913</v>
      </c>
      <c r="L9" s="6">
        <v>13508</v>
      </c>
      <c r="M9" s="6">
        <v>26.6</v>
      </c>
      <c r="N9" s="6">
        <v>52</v>
      </c>
      <c r="O9" s="7">
        <v>51</v>
      </c>
      <c r="Q9" s="8" t="s">
        <v>36</v>
      </c>
      <c r="R9" s="6">
        <v>1.05</v>
      </c>
      <c r="S9" s="6">
        <v>78</v>
      </c>
      <c r="T9" s="7">
        <v>63</v>
      </c>
      <c r="V9" s="8" t="s">
        <v>8</v>
      </c>
      <c r="W9" s="6">
        <v>491.76</v>
      </c>
      <c r="X9" s="6">
        <v>3595.1</v>
      </c>
      <c r="Y9" s="6">
        <v>9421.2000000000007</v>
      </c>
      <c r="Z9" s="6">
        <v>9913</v>
      </c>
      <c r="AA9" s="6">
        <v>13508</v>
      </c>
      <c r="AB9" s="7">
        <v>26.6</v>
      </c>
    </row>
    <row r="10" spans="2:28" x14ac:dyDescent="0.3">
      <c r="B10" s="8" t="s">
        <v>5</v>
      </c>
      <c r="C10" s="6">
        <v>143.13</v>
      </c>
      <c r="D10" s="6">
        <v>138.16</v>
      </c>
      <c r="E10" s="6">
        <v>0.96499999999999997</v>
      </c>
      <c r="F10" s="6"/>
      <c r="G10" s="7"/>
      <c r="I10" s="8" t="s">
        <v>9</v>
      </c>
      <c r="J10" s="6">
        <v>3455</v>
      </c>
      <c r="K10" s="6">
        <v>9777</v>
      </c>
      <c r="L10" s="6">
        <v>13233</v>
      </c>
      <c r="M10" s="6">
        <v>26.1</v>
      </c>
      <c r="N10" s="6">
        <v>48</v>
      </c>
      <c r="O10" s="7">
        <v>45</v>
      </c>
      <c r="Q10" s="8" t="s">
        <v>37</v>
      </c>
      <c r="R10" s="6">
        <v>1.1100000000000001</v>
      </c>
      <c r="S10" s="6">
        <v>72</v>
      </c>
      <c r="T10" s="7">
        <v>53</v>
      </c>
      <c r="V10" s="8" t="s">
        <v>9</v>
      </c>
      <c r="W10" s="6">
        <v>494.61</v>
      </c>
      <c r="X10" s="6">
        <v>3455.3</v>
      </c>
      <c r="Y10" s="6">
        <v>9282.9</v>
      </c>
      <c r="Z10" s="6">
        <v>9777.5</v>
      </c>
      <c r="AA10" s="6">
        <v>13232.8</v>
      </c>
      <c r="AB10" s="7">
        <v>26.1</v>
      </c>
    </row>
    <row r="11" spans="2:28" x14ac:dyDescent="0.3">
      <c r="B11" s="8" t="s">
        <v>6</v>
      </c>
      <c r="C11" s="6">
        <v>62.45</v>
      </c>
      <c r="D11" s="6">
        <v>69.88</v>
      </c>
      <c r="E11" s="6">
        <v>1.119</v>
      </c>
      <c r="F11" s="6"/>
      <c r="G11" s="7"/>
      <c r="I11" s="8" t="s">
        <v>10</v>
      </c>
      <c r="J11" s="6">
        <v>20309</v>
      </c>
      <c r="K11" s="6">
        <v>54884</v>
      </c>
      <c r="L11" s="6">
        <v>75193</v>
      </c>
      <c r="M11" s="6">
        <v>27</v>
      </c>
      <c r="N11" s="6">
        <v>61</v>
      </c>
      <c r="O11" s="7">
        <v>54</v>
      </c>
      <c r="Q11" s="8" t="s">
        <v>38</v>
      </c>
      <c r="R11" s="6">
        <v>392</v>
      </c>
      <c r="S11" s="6"/>
      <c r="T11" s="7"/>
      <c r="V11" s="8" t="s">
        <v>10</v>
      </c>
      <c r="W11" s="6">
        <v>2132.17</v>
      </c>
      <c r="X11" s="6">
        <v>20309</v>
      </c>
      <c r="Y11" s="6">
        <v>52751.5</v>
      </c>
      <c r="Z11" s="6">
        <v>54883.7</v>
      </c>
      <c r="AA11" s="6">
        <v>75192.7</v>
      </c>
      <c r="AB11" s="7">
        <v>27</v>
      </c>
    </row>
    <row r="12" spans="2:28" x14ac:dyDescent="0.3">
      <c r="B12" s="8" t="s">
        <v>7</v>
      </c>
      <c r="C12" s="6">
        <v>247.09</v>
      </c>
      <c r="D12" s="6">
        <v>325.04000000000002</v>
      </c>
      <c r="E12" s="6">
        <v>1.3149999999999999</v>
      </c>
      <c r="F12" s="6"/>
      <c r="G12" s="7"/>
      <c r="I12" s="8" t="s">
        <v>11</v>
      </c>
      <c r="J12" s="6">
        <v>1189</v>
      </c>
      <c r="K12" s="6">
        <v>3288</v>
      </c>
      <c r="L12" s="6">
        <v>4478</v>
      </c>
      <c r="M12" s="6">
        <v>26.6</v>
      </c>
      <c r="N12" s="6"/>
      <c r="O12" s="7"/>
      <c r="Q12" s="8" t="s">
        <v>39</v>
      </c>
      <c r="R12" s="6">
        <v>424</v>
      </c>
      <c r="S12" s="6"/>
      <c r="T12" s="7"/>
      <c r="V12" s="8" t="s">
        <v>11</v>
      </c>
      <c r="W12" s="6">
        <v>334.34</v>
      </c>
      <c r="X12" s="6">
        <v>1189.4000000000001</v>
      </c>
      <c r="Y12" s="6">
        <v>2954</v>
      </c>
      <c r="Z12" s="6">
        <v>3288.4</v>
      </c>
      <c r="AA12" s="6">
        <v>4477.8999999999996</v>
      </c>
      <c r="AB12" s="7">
        <v>26.6</v>
      </c>
    </row>
    <row r="13" spans="2:28" ht="17.25" thickBot="1" x14ac:dyDescent="0.35">
      <c r="B13" s="8" t="s">
        <v>8</v>
      </c>
      <c r="C13" s="6">
        <v>350.66</v>
      </c>
      <c r="D13" s="6">
        <v>491.76</v>
      </c>
      <c r="E13" s="6">
        <v>1.4019999999999999</v>
      </c>
      <c r="F13" s="6"/>
      <c r="G13" s="7"/>
      <c r="I13" s="8" t="s">
        <v>12</v>
      </c>
      <c r="J13" s="6">
        <v>21498</v>
      </c>
      <c r="K13" s="6">
        <v>58172</v>
      </c>
      <c r="L13" s="6">
        <v>79670</v>
      </c>
      <c r="M13" s="6">
        <v>27</v>
      </c>
      <c r="N13" s="6">
        <v>64</v>
      </c>
      <c r="O13" s="7">
        <v>56</v>
      </c>
      <c r="Q13" s="8" t="s">
        <v>40</v>
      </c>
      <c r="R13" s="6">
        <v>81.3</v>
      </c>
      <c r="S13" s="6"/>
      <c r="T13" s="7"/>
      <c r="V13" s="11" t="s">
        <v>12</v>
      </c>
      <c r="W13" s="12">
        <v>2466.5100000000002</v>
      </c>
      <c r="X13" s="12">
        <v>21498.5</v>
      </c>
      <c r="Y13" s="12">
        <v>55705.5</v>
      </c>
      <c r="Z13" s="12">
        <v>58172</v>
      </c>
      <c r="AA13" s="12">
        <v>79670.5</v>
      </c>
      <c r="AB13" s="13">
        <v>27</v>
      </c>
    </row>
    <row r="14" spans="2:28" x14ac:dyDescent="0.3">
      <c r="B14" s="8" t="s">
        <v>9</v>
      </c>
      <c r="C14" s="6">
        <v>358.81</v>
      </c>
      <c r="D14" s="6">
        <v>494.61</v>
      </c>
      <c r="E14" s="6">
        <v>1.3779999999999999</v>
      </c>
      <c r="F14" s="6"/>
      <c r="G14" s="7"/>
      <c r="I14" s="8" t="s">
        <v>27</v>
      </c>
      <c r="J14" s="6">
        <v>1770</v>
      </c>
      <c r="K14" s="6">
        <v>4216</v>
      </c>
      <c r="L14" s="6">
        <v>5986</v>
      </c>
      <c r="M14" s="6">
        <v>29.6</v>
      </c>
      <c r="N14" s="6"/>
      <c r="O14" s="7"/>
      <c r="Q14" s="5"/>
      <c r="R14" s="6"/>
      <c r="S14" s="6"/>
      <c r="T14" s="7"/>
    </row>
    <row r="15" spans="2:28" ht="17.25" thickBot="1" x14ac:dyDescent="0.35">
      <c r="B15" s="8" t="s">
        <v>10</v>
      </c>
      <c r="C15" s="6">
        <v>1956.17</v>
      </c>
      <c r="D15" s="6">
        <v>2132.17</v>
      </c>
      <c r="E15" s="6">
        <v>1.0900000000000001</v>
      </c>
      <c r="F15" s="6"/>
      <c r="G15" s="7"/>
      <c r="I15" s="11" t="s">
        <v>28</v>
      </c>
      <c r="J15" s="17">
        <v>3623</v>
      </c>
      <c r="K15" s="12">
        <v>9664</v>
      </c>
      <c r="L15" s="12">
        <v>13287</v>
      </c>
      <c r="M15" s="12">
        <v>27.3</v>
      </c>
      <c r="N15" s="12"/>
      <c r="O15" s="13"/>
      <c r="Q15" s="14" t="s">
        <v>41</v>
      </c>
      <c r="R15" s="6"/>
      <c r="S15" s="6"/>
      <c r="T15" s="7"/>
    </row>
    <row r="16" spans="2:28" x14ac:dyDescent="0.3">
      <c r="B16" s="8" t="s">
        <v>11</v>
      </c>
      <c r="C16" s="6">
        <v>223.43</v>
      </c>
      <c r="D16" s="6">
        <v>334.34</v>
      </c>
      <c r="E16" s="6">
        <v>1.496</v>
      </c>
      <c r="F16" s="6"/>
      <c r="G16" s="7"/>
      <c r="Q16" s="8" t="s">
        <v>30</v>
      </c>
      <c r="R16" s="9" t="s">
        <v>31</v>
      </c>
      <c r="S16" s="9" t="s">
        <v>32</v>
      </c>
      <c r="T16" s="10" t="s">
        <v>25</v>
      </c>
    </row>
    <row r="17" spans="2:20" ht="17.25" thickBot="1" x14ac:dyDescent="0.35">
      <c r="B17" s="11" t="s">
        <v>12</v>
      </c>
      <c r="C17" s="12">
        <v>2179.6</v>
      </c>
      <c r="D17" s="12">
        <v>2466.5100000000002</v>
      </c>
      <c r="E17" s="12">
        <v>1.1319999999999999</v>
      </c>
      <c r="F17" s="12">
        <v>-0.7</v>
      </c>
      <c r="G17" s="13">
        <v>-0.7</v>
      </c>
      <c r="Q17" s="8" t="s">
        <v>42</v>
      </c>
      <c r="R17" s="6">
        <v>18.7</v>
      </c>
      <c r="S17" s="6">
        <v>52</v>
      </c>
      <c r="T17" s="7">
        <v>47</v>
      </c>
    </row>
    <row r="18" spans="2:20" ht="17.25" thickBot="1" x14ac:dyDescent="0.35">
      <c r="Q18" s="11" t="s">
        <v>43</v>
      </c>
      <c r="R18" s="12">
        <v>8.58</v>
      </c>
      <c r="S18" s="12">
        <v>54</v>
      </c>
      <c r="T18" s="13">
        <v>51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18"/>
  <sheetViews>
    <sheetView workbookViewId="0">
      <selection activeCell="B2" sqref="B2"/>
    </sheetView>
  </sheetViews>
  <sheetFormatPr defaultRowHeight="16.5" x14ac:dyDescent="0.3"/>
  <cols>
    <col min="2" max="2" width="12.625" customWidth="1"/>
    <col min="3" max="3" width="11.625" bestFit="1" customWidth="1"/>
    <col min="4" max="4" width="8" bestFit="1" customWidth="1"/>
    <col min="5" max="5" width="12.625" bestFit="1" customWidth="1"/>
    <col min="9" max="9" width="15.375" customWidth="1"/>
    <col min="10" max="10" width="12.875" bestFit="1" customWidth="1"/>
    <col min="11" max="11" width="15" bestFit="1" customWidth="1"/>
    <col min="12" max="12" width="16.375" bestFit="1" customWidth="1"/>
    <col min="13" max="13" width="6.875" bestFit="1" customWidth="1"/>
    <col min="14" max="14" width="9.875" bestFit="1" customWidth="1"/>
    <col min="15" max="15" width="16" bestFit="1" customWidth="1"/>
    <col min="17" max="17" width="32.75" customWidth="1"/>
    <col min="19" max="19" width="15.25" bestFit="1" customWidth="1"/>
    <col min="20" max="20" width="16" bestFit="1" customWidth="1"/>
    <col min="22" max="22" width="16.125" customWidth="1"/>
    <col min="24" max="24" width="8.25" bestFit="1" customWidth="1"/>
    <col min="25" max="25" width="17" bestFit="1" customWidth="1"/>
    <col min="26" max="26" width="17.125" bestFit="1" customWidth="1"/>
    <col min="27" max="27" width="17.375" bestFit="1" customWidth="1"/>
  </cols>
  <sheetData>
    <row r="1" spans="2:28" ht="17.25" thickBot="1" x14ac:dyDescent="0.35">
      <c r="B1" s="1">
        <v>45895</v>
      </c>
    </row>
    <row r="2" spans="2:28" x14ac:dyDescent="0.3">
      <c r="B2" s="2" t="s">
        <v>44</v>
      </c>
      <c r="C2" s="3"/>
      <c r="D2" s="3"/>
      <c r="E2" s="3"/>
      <c r="F2" s="3"/>
      <c r="G2" s="4"/>
      <c r="I2" s="2" t="s">
        <v>48</v>
      </c>
      <c r="J2" s="3"/>
      <c r="K2" s="3"/>
      <c r="L2" s="3"/>
      <c r="M2" s="3"/>
      <c r="N2" s="3"/>
      <c r="O2" s="4"/>
      <c r="Q2" s="2" t="s">
        <v>29</v>
      </c>
      <c r="R2" s="3"/>
      <c r="S2" s="3"/>
      <c r="T2" s="4"/>
      <c r="V2" s="2" t="s">
        <v>44</v>
      </c>
      <c r="W2" s="3"/>
      <c r="X2" s="3"/>
      <c r="Y2" s="3"/>
      <c r="Z2" s="3"/>
      <c r="AA2" s="3"/>
      <c r="AB2" s="4"/>
    </row>
    <row r="3" spans="2:28" x14ac:dyDescent="0.3">
      <c r="B3" s="5" t="s">
        <v>18</v>
      </c>
      <c r="C3" s="6">
        <v>172.1</v>
      </c>
      <c r="D3" s="6"/>
      <c r="E3" s="6"/>
      <c r="F3" s="6"/>
      <c r="G3" s="7"/>
      <c r="I3" s="5" t="s">
        <v>18</v>
      </c>
      <c r="J3" s="6">
        <v>172.1</v>
      </c>
      <c r="K3" s="6"/>
      <c r="L3" s="6"/>
      <c r="M3" s="6"/>
      <c r="N3" s="6"/>
      <c r="O3" s="7"/>
      <c r="Q3" s="5" t="s">
        <v>18</v>
      </c>
      <c r="R3" s="6">
        <v>172.1</v>
      </c>
      <c r="S3" s="6"/>
      <c r="T3" s="7"/>
      <c r="V3" s="5" t="s">
        <v>18</v>
      </c>
      <c r="W3" s="6">
        <v>172.1</v>
      </c>
      <c r="X3" s="6"/>
      <c r="Y3" s="6"/>
      <c r="Z3" s="6"/>
      <c r="AA3" s="6"/>
      <c r="AB3" s="7"/>
    </row>
    <row r="4" spans="2:28" x14ac:dyDescent="0.3">
      <c r="B4" s="5" t="s">
        <v>19</v>
      </c>
      <c r="C4" s="6">
        <v>76.8</v>
      </c>
      <c r="D4" s="6"/>
      <c r="E4" s="6"/>
      <c r="F4" s="6"/>
      <c r="G4" s="7"/>
      <c r="I4" s="5" t="s">
        <v>19</v>
      </c>
      <c r="J4" s="6">
        <v>76.8</v>
      </c>
      <c r="K4" s="6"/>
      <c r="L4" s="6"/>
      <c r="M4" s="6"/>
      <c r="N4" s="6"/>
      <c r="O4" s="7"/>
      <c r="Q4" s="5" t="s">
        <v>19</v>
      </c>
      <c r="R4" s="6">
        <v>76.8</v>
      </c>
      <c r="S4" s="6"/>
      <c r="T4" s="7"/>
      <c r="V4" s="5" t="s">
        <v>19</v>
      </c>
      <c r="W4" s="6">
        <v>76.8</v>
      </c>
      <c r="X4" s="6"/>
      <c r="Y4" s="6"/>
      <c r="Z4" s="6"/>
      <c r="AA4" s="6"/>
      <c r="AB4" s="7"/>
    </row>
    <row r="5" spans="2:28" x14ac:dyDescent="0.3">
      <c r="B5" s="8" t="s">
        <v>0</v>
      </c>
      <c r="C5" s="9" t="s">
        <v>13</v>
      </c>
      <c r="D5" s="9" t="s">
        <v>14</v>
      </c>
      <c r="E5" s="9" t="s">
        <v>15</v>
      </c>
      <c r="F5" s="9" t="s">
        <v>16</v>
      </c>
      <c r="G5" s="10" t="s">
        <v>17</v>
      </c>
      <c r="I5" s="8" t="s">
        <v>0</v>
      </c>
      <c r="J5" s="9" t="s">
        <v>20</v>
      </c>
      <c r="K5" s="9" t="s">
        <v>21</v>
      </c>
      <c r="L5" s="9" t="s">
        <v>22</v>
      </c>
      <c r="M5" s="9" t="s">
        <v>23</v>
      </c>
      <c r="N5" s="9" t="s">
        <v>24</v>
      </c>
      <c r="O5" s="10" t="s">
        <v>25</v>
      </c>
      <c r="Q5" s="8" t="s">
        <v>30</v>
      </c>
      <c r="R5" s="9" t="s">
        <v>31</v>
      </c>
      <c r="S5" s="9" t="s">
        <v>32</v>
      </c>
      <c r="T5" s="10" t="s">
        <v>25</v>
      </c>
      <c r="V5" s="8" t="s">
        <v>0</v>
      </c>
      <c r="W5" s="9" t="s">
        <v>14</v>
      </c>
      <c r="X5" s="9" t="s">
        <v>45</v>
      </c>
      <c r="Y5" s="9" t="s">
        <v>46</v>
      </c>
      <c r="Z5" s="9" t="s">
        <v>47</v>
      </c>
      <c r="AA5" s="9" t="s">
        <v>22</v>
      </c>
      <c r="AB5" s="10" t="s">
        <v>23</v>
      </c>
    </row>
    <row r="6" spans="2:28" x14ac:dyDescent="0.3">
      <c r="B6" s="8" t="s">
        <v>1</v>
      </c>
      <c r="C6" s="6">
        <v>226.92</v>
      </c>
      <c r="D6" s="6">
        <v>188.99</v>
      </c>
      <c r="E6" s="6">
        <v>0.83299999999999996</v>
      </c>
      <c r="F6" s="6"/>
      <c r="G6" s="7"/>
      <c r="I6" s="8" t="s">
        <v>1</v>
      </c>
      <c r="J6" s="6">
        <v>1072</v>
      </c>
      <c r="K6" s="6">
        <v>3648</v>
      </c>
      <c r="L6" s="6">
        <v>4720</v>
      </c>
      <c r="M6" s="16">
        <v>22.7</v>
      </c>
      <c r="N6" s="16">
        <v>54</v>
      </c>
      <c r="O6" s="7">
        <v>47</v>
      </c>
      <c r="Q6" s="8" t="s">
        <v>33</v>
      </c>
      <c r="R6" s="6">
        <v>24.1</v>
      </c>
      <c r="S6" s="16">
        <v>47</v>
      </c>
      <c r="T6" s="7">
        <v>37</v>
      </c>
      <c r="V6" s="8" t="s">
        <v>1</v>
      </c>
      <c r="W6" s="6">
        <v>188.99</v>
      </c>
      <c r="X6" s="16">
        <v>1072.4000000000001</v>
      </c>
      <c r="Y6" s="16">
        <v>3458.7</v>
      </c>
      <c r="Z6" s="16">
        <v>3647.7</v>
      </c>
      <c r="AA6" s="16">
        <v>4720.1000000000004</v>
      </c>
      <c r="AB6" s="15">
        <v>22.7</v>
      </c>
    </row>
    <row r="7" spans="2:28" x14ac:dyDescent="0.3">
      <c r="B7" s="8" t="s">
        <v>2</v>
      </c>
      <c r="C7" s="16">
        <v>238.95</v>
      </c>
      <c r="D7" s="6">
        <v>214.09</v>
      </c>
      <c r="E7" s="6">
        <v>0.89600000000000002</v>
      </c>
      <c r="F7" s="6"/>
      <c r="G7" s="7"/>
      <c r="I7" s="8" t="s">
        <v>2</v>
      </c>
      <c r="J7" s="16">
        <v>1070</v>
      </c>
      <c r="K7" s="6">
        <v>3819</v>
      </c>
      <c r="L7" s="6">
        <v>4889</v>
      </c>
      <c r="M7" s="16">
        <v>21.9</v>
      </c>
      <c r="N7" s="16">
        <v>47</v>
      </c>
      <c r="O7" s="7">
        <v>40</v>
      </c>
      <c r="Q7" s="8" t="s">
        <v>34</v>
      </c>
      <c r="R7" s="16">
        <v>6.15</v>
      </c>
      <c r="S7" s="16">
        <v>47</v>
      </c>
      <c r="T7" s="7">
        <v>38</v>
      </c>
      <c r="V7" s="8" t="s">
        <v>2</v>
      </c>
      <c r="W7" s="16">
        <v>214.09</v>
      </c>
      <c r="X7" s="16">
        <v>1070.4000000000001</v>
      </c>
      <c r="Y7" s="16">
        <v>3604.7</v>
      </c>
      <c r="Z7" s="16">
        <v>3818.8</v>
      </c>
      <c r="AA7" s="16">
        <v>4889.2</v>
      </c>
      <c r="AB7" s="7">
        <v>21.9</v>
      </c>
    </row>
    <row r="8" spans="2:28" x14ac:dyDescent="0.3">
      <c r="B8" s="8" t="s">
        <v>3</v>
      </c>
      <c r="C8" s="16">
        <v>166.02</v>
      </c>
      <c r="D8" s="6">
        <v>102.66</v>
      </c>
      <c r="E8" s="6">
        <v>0.61799999999999999</v>
      </c>
      <c r="F8" s="6"/>
      <c r="G8" s="7"/>
      <c r="I8" s="8" t="s">
        <v>26</v>
      </c>
      <c r="J8" s="16">
        <v>8664</v>
      </c>
      <c r="K8" s="6">
        <v>27227</v>
      </c>
      <c r="L8" s="6">
        <v>35891</v>
      </c>
      <c r="M8" s="16">
        <v>24.1</v>
      </c>
      <c r="N8" s="16">
        <v>47</v>
      </c>
      <c r="O8" s="7">
        <v>36</v>
      </c>
      <c r="Q8" s="8" t="s">
        <v>35</v>
      </c>
      <c r="R8" s="16">
        <v>1.04</v>
      </c>
      <c r="S8" s="6"/>
      <c r="T8" s="7"/>
      <c r="V8" s="8" t="s">
        <v>26</v>
      </c>
      <c r="W8" s="16">
        <v>738.92</v>
      </c>
      <c r="X8" s="6">
        <v>8664</v>
      </c>
      <c r="Y8" s="6">
        <v>26488.5</v>
      </c>
      <c r="Z8" s="16">
        <v>27227.5</v>
      </c>
      <c r="AA8" s="16">
        <v>35891.4</v>
      </c>
      <c r="AB8" s="7">
        <v>24.1</v>
      </c>
    </row>
    <row r="9" spans="2:28" x14ac:dyDescent="0.3">
      <c r="B9" s="8" t="s">
        <v>4</v>
      </c>
      <c r="C9" s="16">
        <v>166.41</v>
      </c>
      <c r="D9" s="16">
        <v>106.64</v>
      </c>
      <c r="E9" s="16">
        <v>0.64100000000000001</v>
      </c>
      <c r="F9" s="6"/>
      <c r="G9" s="7"/>
      <c r="I9" s="8" t="s">
        <v>8</v>
      </c>
      <c r="J9" s="16">
        <v>3069</v>
      </c>
      <c r="K9" s="16">
        <v>9713</v>
      </c>
      <c r="L9" s="16">
        <v>12782</v>
      </c>
      <c r="M9" s="16">
        <v>24</v>
      </c>
      <c r="N9" s="16">
        <v>36</v>
      </c>
      <c r="O9" s="7">
        <v>34</v>
      </c>
      <c r="Q9" s="8" t="s">
        <v>36</v>
      </c>
      <c r="R9" s="16">
        <v>0.99</v>
      </c>
      <c r="S9" s="16">
        <v>65</v>
      </c>
      <c r="T9" s="7">
        <v>48</v>
      </c>
      <c r="V9" s="8" t="s">
        <v>8</v>
      </c>
      <c r="W9" s="16">
        <v>481.93</v>
      </c>
      <c r="X9" s="16">
        <v>3069.5</v>
      </c>
      <c r="Y9" s="16">
        <v>9230.6</v>
      </c>
      <c r="Z9" s="16">
        <v>9712.5</v>
      </c>
      <c r="AA9" s="16">
        <v>12782</v>
      </c>
      <c r="AB9" s="7">
        <v>24</v>
      </c>
    </row>
    <row r="10" spans="2:28" x14ac:dyDescent="0.3">
      <c r="B10" s="8" t="s">
        <v>5</v>
      </c>
      <c r="C10" s="16">
        <v>140.03</v>
      </c>
      <c r="D10" s="16">
        <v>127.97</v>
      </c>
      <c r="E10" s="16">
        <v>0.91400000000000003</v>
      </c>
      <c r="F10" s="6"/>
      <c r="G10" s="7"/>
      <c r="I10" s="8" t="s">
        <v>9</v>
      </c>
      <c r="J10" s="16">
        <v>3139</v>
      </c>
      <c r="K10" s="16">
        <v>9567</v>
      </c>
      <c r="L10" s="16">
        <v>12706</v>
      </c>
      <c r="M10" s="16">
        <v>24.7</v>
      </c>
      <c r="N10" s="16">
        <v>39</v>
      </c>
      <c r="O10" s="7">
        <v>36</v>
      </c>
      <c r="Q10" s="8" t="s">
        <v>37</v>
      </c>
      <c r="R10" s="16">
        <v>1.04</v>
      </c>
      <c r="S10" s="16">
        <v>59</v>
      </c>
      <c r="T10" s="7">
        <v>40</v>
      </c>
      <c r="V10" s="8" t="s">
        <v>9</v>
      </c>
      <c r="W10" s="16">
        <v>445.42</v>
      </c>
      <c r="X10" s="16">
        <v>3139.2</v>
      </c>
      <c r="Y10" s="16">
        <v>9121.1</v>
      </c>
      <c r="Z10" s="16">
        <v>9566.5</v>
      </c>
      <c r="AA10" s="16">
        <v>12705.7</v>
      </c>
      <c r="AB10" s="7">
        <v>24.7</v>
      </c>
    </row>
    <row r="11" spans="2:28" x14ac:dyDescent="0.3">
      <c r="B11" s="8" t="s">
        <v>6</v>
      </c>
      <c r="C11" s="16">
        <v>62.84</v>
      </c>
      <c r="D11" s="16">
        <v>69.150000000000006</v>
      </c>
      <c r="E11" s="16">
        <v>1.1000000000000001</v>
      </c>
      <c r="F11" s="6"/>
      <c r="G11" s="7"/>
      <c r="I11" s="8" t="s">
        <v>10</v>
      </c>
      <c r="J11" s="16">
        <v>17015</v>
      </c>
      <c r="K11" s="16">
        <v>53973</v>
      </c>
      <c r="L11" s="16">
        <v>70988</v>
      </c>
      <c r="M11" s="16">
        <v>24</v>
      </c>
      <c r="N11" s="16">
        <v>44</v>
      </c>
      <c r="O11" s="7">
        <v>35</v>
      </c>
      <c r="Q11" s="8" t="s">
        <v>38</v>
      </c>
      <c r="R11" s="16">
        <v>313</v>
      </c>
      <c r="S11" s="6"/>
      <c r="T11" s="7"/>
      <c r="V11" s="8" t="s">
        <v>10</v>
      </c>
      <c r="W11" s="16">
        <v>2069.34</v>
      </c>
      <c r="X11" s="16">
        <v>17015.400000000001</v>
      </c>
      <c r="Y11" s="16">
        <v>51903.7</v>
      </c>
      <c r="Z11" s="16">
        <v>53973</v>
      </c>
      <c r="AA11" s="16">
        <v>70988.5</v>
      </c>
      <c r="AB11" s="7">
        <v>24</v>
      </c>
    </row>
    <row r="12" spans="2:28" x14ac:dyDescent="0.3">
      <c r="B12" s="8" t="s">
        <v>7</v>
      </c>
      <c r="C12" s="16">
        <v>250.19</v>
      </c>
      <c r="D12" s="16">
        <v>332.5</v>
      </c>
      <c r="E12" s="16">
        <v>1.329</v>
      </c>
      <c r="F12" s="6"/>
      <c r="G12" s="7"/>
      <c r="I12" s="8" t="s">
        <v>11</v>
      </c>
      <c r="J12" s="16">
        <v>1189</v>
      </c>
      <c r="K12" s="16">
        <v>3303</v>
      </c>
      <c r="L12" s="16">
        <v>4492</v>
      </c>
      <c r="M12" s="16">
        <v>26.5</v>
      </c>
      <c r="N12" s="6"/>
      <c r="O12" s="7"/>
      <c r="Q12" s="8" t="s">
        <v>39</v>
      </c>
      <c r="R12" s="16">
        <v>339</v>
      </c>
      <c r="S12" s="6"/>
      <c r="T12" s="7"/>
      <c r="V12" s="8" t="s">
        <v>11</v>
      </c>
      <c r="W12" s="16">
        <v>336.73</v>
      </c>
      <c r="X12" s="16">
        <v>1188.8</v>
      </c>
      <c r="Y12" s="16">
        <v>2966</v>
      </c>
      <c r="Z12" s="16">
        <v>3302.8</v>
      </c>
      <c r="AA12" s="16">
        <v>4491.5</v>
      </c>
      <c r="AB12" s="7">
        <v>26.5</v>
      </c>
    </row>
    <row r="13" spans="2:28" ht="17.25" thickBot="1" x14ac:dyDescent="0.35">
      <c r="B13" s="8" t="s">
        <v>8</v>
      </c>
      <c r="C13" s="16">
        <v>367.34</v>
      </c>
      <c r="D13" s="16">
        <v>481.93</v>
      </c>
      <c r="E13" s="16">
        <v>1.3120000000000001</v>
      </c>
      <c r="F13" s="6"/>
      <c r="G13" s="7"/>
      <c r="I13" s="8" t="s">
        <v>12</v>
      </c>
      <c r="J13" s="16">
        <v>18204</v>
      </c>
      <c r="K13" s="16">
        <v>57276</v>
      </c>
      <c r="L13" s="16">
        <v>75480</v>
      </c>
      <c r="M13" s="16">
        <v>24.1</v>
      </c>
      <c r="N13" s="16">
        <v>47</v>
      </c>
      <c r="O13" s="7">
        <v>37</v>
      </c>
      <c r="Q13" s="8" t="s">
        <v>40</v>
      </c>
      <c r="R13" s="16">
        <v>65</v>
      </c>
      <c r="S13" s="6"/>
      <c r="T13" s="7"/>
      <c r="V13" s="11" t="s">
        <v>12</v>
      </c>
      <c r="W13" s="12">
        <v>2406.0700000000002</v>
      </c>
      <c r="X13" s="12">
        <v>18204.2</v>
      </c>
      <c r="Y13" s="12">
        <v>54869.7</v>
      </c>
      <c r="Z13" s="12">
        <v>57275.8</v>
      </c>
      <c r="AA13" s="12">
        <v>75480</v>
      </c>
      <c r="AB13" s="13">
        <v>24.1</v>
      </c>
    </row>
    <row r="14" spans="2:28" x14ac:dyDescent="0.3">
      <c r="B14" s="8" t="s">
        <v>9</v>
      </c>
      <c r="C14" s="16">
        <v>364.62</v>
      </c>
      <c r="D14" s="16">
        <v>445.42</v>
      </c>
      <c r="E14" s="16">
        <v>1.222</v>
      </c>
      <c r="F14" s="6"/>
      <c r="G14" s="7"/>
      <c r="I14" s="8" t="s">
        <v>27</v>
      </c>
      <c r="J14" s="16">
        <v>1352</v>
      </c>
      <c r="K14" s="16">
        <v>3773</v>
      </c>
      <c r="L14" s="16">
        <v>5125</v>
      </c>
      <c r="M14" s="16">
        <v>26.4</v>
      </c>
      <c r="N14" s="6"/>
      <c r="O14" s="7"/>
      <c r="Q14" s="5"/>
      <c r="R14" s="6"/>
      <c r="S14" s="6"/>
      <c r="T14" s="7"/>
    </row>
    <row r="15" spans="2:28" ht="17.25" thickBot="1" x14ac:dyDescent="0.35">
      <c r="B15" s="8" t="s">
        <v>10</v>
      </c>
      <c r="C15" s="16">
        <v>1983.32</v>
      </c>
      <c r="D15" s="16">
        <v>2069.34</v>
      </c>
      <c r="E15" s="16">
        <v>1.0429999999999999</v>
      </c>
      <c r="F15" s="6"/>
      <c r="G15" s="7"/>
      <c r="I15" s="11" t="s">
        <v>28</v>
      </c>
      <c r="J15" s="12">
        <v>3213</v>
      </c>
      <c r="K15" s="12">
        <v>9393</v>
      </c>
      <c r="L15" s="12">
        <v>12606</v>
      </c>
      <c r="M15" s="12">
        <v>25.5</v>
      </c>
      <c r="N15" s="12"/>
      <c r="O15" s="13"/>
      <c r="Q15" s="14" t="s">
        <v>41</v>
      </c>
      <c r="R15" s="6"/>
      <c r="S15" s="6"/>
      <c r="T15" s="7"/>
    </row>
    <row r="16" spans="2:28" x14ac:dyDescent="0.3">
      <c r="B16" s="8" t="s">
        <v>11</v>
      </c>
      <c r="C16" s="16">
        <v>218.39</v>
      </c>
      <c r="D16" s="16">
        <v>336.73</v>
      </c>
      <c r="E16" s="16">
        <v>1.542</v>
      </c>
      <c r="F16" s="6"/>
      <c r="G16" s="7"/>
      <c r="Q16" s="8" t="s">
        <v>30</v>
      </c>
      <c r="R16" s="9" t="s">
        <v>31</v>
      </c>
      <c r="S16" s="9" t="s">
        <v>32</v>
      </c>
      <c r="T16" s="10" t="s">
        <v>25</v>
      </c>
    </row>
    <row r="17" spans="2:20" ht="17.25" thickBot="1" x14ac:dyDescent="0.35">
      <c r="B17" s="11" t="s">
        <v>12</v>
      </c>
      <c r="C17" s="12">
        <f>SUM(C6:C16)-C15</f>
        <v>2201.71</v>
      </c>
      <c r="D17" s="12">
        <f>SUM(D6:D16)-D15</f>
        <v>2406.08</v>
      </c>
      <c r="E17" s="12">
        <v>1.093</v>
      </c>
      <c r="F17" s="12">
        <v>-1.1000000000000001</v>
      </c>
      <c r="G17" s="13">
        <v>-1.1000000000000001</v>
      </c>
      <c r="Q17" s="8" t="s">
        <v>42</v>
      </c>
      <c r="R17" s="6">
        <v>18.5</v>
      </c>
      <c r="S17" s="6">
        <v>50</v>
      </c>
      <c r="T17" s="7">
        <v>44</v>
      </c>
    </row>
    <row r="18" spans="2:20" ht="17.25" thickBot="1" x14ac:dyDescent="0.35">
      <c r="Q18" s="11" t="s">
        <v>43</v>
      </c>
      <c r="R18" s="12">
        <v>8.58</v>
      </c>
      <c r="S18" s="12">
        <v>54</v>
      </c>
      <c r="T18" s="13">
        <v>51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18"/>
  <sheetViews>
    <sheetView workbookViewId="0">
      <selection activeCell="B2" sqref="B2"/>
    </sheetView>
  </sheetViews>
  <sheetFormatPr defaultRowHeight="16.5" x14ac:dyDescent="0.3"/>
  <cols>
    <col min="2" max="2" width="12.625" customWidth="1"/>
    <col min="3" max="3" width="11.625" bestFit="1" customWidth="1"/>
    <col min="4" max="4" width="8" bestFit="1" customWidth="1"/>
    <col min="5" max="5" width="12.625" bestFit="1" customWidth="1"/>
    <col min="9" max="9" width="15.375" customWidth="1"/>
    <col min="10" max="10" width="12.875" bestFit="1" customWidth="1"/>
    <col min="11" max="11" width="15" bestFit="1" customWidth="1"/>
    <col min="12" max="12" width="16.375" bestFit="1" customWidth="1"/>
    <col min="13" max="13" width="6.875" bestFit="1" customWidth="1"/>
    <col min="14" max="14" width="9.875" bestFit="1" customWidth="1"/>
    <col min="15" max="15" width="16" bestFit="1" customWidth="1"/>
    <col min="17" max="17" width="32.75" customWidth="1"/>
    <col min="19" max="19" width="15.25" bestFit="1" customWidth="1"/>
    <col min="20" max="20" width="16" bestFit="1" customWidth="1"/>
    <col min="22" max="22" width="16.125" customWidth="1"/>
    <col min="24" max="24" width="8.25" bestFit="1" customWidth="1"/>
    <col min="25" max="25" width="17" bestFit="1" customWidth="1"/>
    <col min="26" max="26" width="17.125" bestFit="1" customWidth="1"/>
    <col min="27" max="27" width="17.375" bestFit="1" customWidth="1"/>
  </cols>
  <sheetData>
    <row r="1" spans="2:28" ht="17.25" thickBot="1" x14ac:dyDescent="0.35">
      <c r="B1" s="1">
        <v>46010</v>
      </c>
    </row>
    <row r="2" spans="2:28" x14ac:dyDescent="0.3">
      <c r="B2" s="2" t="s">
        <v>44</v>
      </c>
      <c r="C2" s="3"/>
      <c r="D2" s="3"/>
      <c r="E2" s="3"/>
      <c r="F2" s="3"/>
      <c r="G2" s="4"/>
      <c r="I2" s="2" t="s">
        <v>48</v>
      </c>
      <c r="J2" s="3"/>
      <c r="K2" s="3"/>
      <c r="L2" s="3"/>
      <c r="M2" s="3"/>
      <c r="N2" s="3"/>
      <c r="O2" s="4"/>
      <c r="Q2" s="2" t="s">
        <v>29</v>
      </c>
      <c r="R2" s="3"/>
      <c r="S2" s="3"/>
      <c r="T2" s="4"/>
      <c r="V2" s="2" t="s">
        <v>44</v>
      </c>
      <c r="W2" s="3"/>
      <c r="X2" s="3"/>
      <c r="Y2" s="3"/>
      <c r="Z2" s="3"/>
      <c r="AA2" s="3"/>
      <c r="AB2" s="4"/>
    </row>
    <row r="3" spans="2:28" x14ac:dyDescent="0.3">
      <c r="B3" s="5" t="s">
        <v>18</v>
      </c>
      <c r="C3" s="6">
        <v>172.8</v>
      </c>
      <c r="D3" s="6"/>
      <c r="E3" s="6"/>
      <c r="F3" s="6"/>
      <c r="G3" s="7"/>
      <c r="I3" s="5" t="s">
        <v>18</v>
      </c>
      <c r="J3" s="6">
        <v>172.8</v>
      </c>
      <c r="K3" s="6"/>
      <c r="L3" s="6"/>
      <c r="M3" s="6"/>
      <c r="N3" s="6"/>
      <c r="O3" s="7"/>
      <c r="Q3" s="5" t="s">
        <v>18</v>
      </c>
      <c r="R3" s="6">
        <v>172.8</v>
      </c>
      <c r="S3" s="6"/>
      <c r="T3" s="7"/>
      <c r="V3" s="5" t="s">
        <v>18</v>
      </c>
      <c r="W3" s="6">
        <v>172.8</v>
      </c>
      <c r="X3" s="6"/>
      <c r="Y3" s="6"/>
      <c r="Z3" s="6"/>
      <c r="AA3" s="6"/>
      <c r="AB3" s="7"/>
    </row>
    <row r="4" spans="2:28" x14ac:dyDescent="0.3">
      <c r="B4" s="5" t="s">
        <v>19</v>
      </c>
      <c r="C4" s="6">
        <v>79.7</v>
      </c>
      <c r="D4" s="6"/>
      <c r="E4" s="6"/>
      <c r="F4" s="6"/>
      <c r="G4" s="7"/>
      <c r="I4" s="5" t="s">
        <v>19</v>
      </c>
      <c r="J4" s="6">
        <v>79.7</v>
      </c>
      <c r="K4" s="6"/>
      <c r="L4" s="6"/>
      <c r="M4" s="6"/>
      <c r="N4" s="6"/>
      <c r="O4" s="7"/>
      <c r="Q4" s="5" t="s">
        <v>19</v>
      </c>
      <c r="R4" s="6">
        <v>79.7</v>
      </c>
      <c r="S4" s="6"/>
      <c r="T4" s="7"/>
      <c r="V4" s="5" t="s">
        <v>19</v>
      </c>
      <c r="W4" s="6">
        <v>79.7</v>
      </c>
      <c r="X4" s="6"/>
      <c r="Y4" s="6"/>
      <c r="Z4" s="6"/>
      <c r="AA4" s="6"/>
      <c r="AB4" s="7"/>
    </row>
    <row r="5" spans="2:28" x14ac:dyDescent="0.3">
      <c r="B5" s="8" t="s">
        <v>0</v>
      </c>
      <c r="C5" s="9" t="s">
        <v>13</v>
      </c>
      <c r="D5" s="9" t="s">
        <v>14</v>
      </c>
      <c r="E5" s="9" t="s">
        <v>15</v>
      </c>
      <c r="F5" s="9" t="s">
        <v>16</v>
      </c>
      <c r="G5" s="10" t="s">
        <v>17</v>
      </c>
      <c r="I5" s="8" t="s">
        <v>0</v>
      </c>
      <c r="J5" s="9" t="s">
        <v>20</v>
      </c>
      <c r="K5" s="9" t="s">
        <v>21</v>
      </c>
      <c r="L5" s="9" t="s">
        <v>22</v>
      </c>
      <c r="M5" s="9" t="s">
        <v>23</v>
      </c>
      <c r="N5" s="9" t="s">
        <v>24</v>
      </c>
      <c r="O5" s="10" t="s">
        <v>25</v>
      </c>
      <c r="Q5" s="8" t="s">
        <v>30</v>
      </c>
      <c r="R5" s="9" t="s">
        <v>31</v>
      </c>
      <c r="S5" s="9" t="s">
        <v>32</v>
      </c>
      <c r="T5" s="10" t="s">
        <v>25</v>
      </c>
      <c r="V5" s="8" t="s">
        <v>0</v>
      </c>
      <c r="W5" s="9" t="s">
        <v>14</v>
      </c>
      <c r="X5" s="9" t="s">
        <v>45</v>
      </c>
      <c r="Y5" s="9" t="s">
        <v>46</v>
      </c>
      <c r="Z5" s="9" t="s">
        <v>47</v>
      </c>
      <c r="AA5" s="9" t="s">
        <v>22</v>
      </c>
      <c r="AB5" s="10" t="s">
        <v>23</v>
      </c>
    </row>
    <row r="6" spans="2:28" x14ac:dyDescent="0.3">
      <c r="B6" s="8" t="s">
        <v>1</v>
      </c>
      <c r="C6" s="6">
        <v>226.14</v>
      </c>
      <c r="D6" s="6">
        <v>189.71</v>
      </c>
      <c r="E6" s="6">
        <v>0.83899999999999997</v>
      </c>
      <c r="F6" s="6"/>
      <c r="G6" s="7"/>
      <c r="I6" s="8" t="s">
        <v>1</v>
      </c>
      <c r="J6" s="6">
        <v>1129</v>
      </c>
      <c r="K6" s="6">
        <v>3626</v>
      </c>
      <c r="L6" s="6">
        <v>4755</v>
      </c>
      <c r="M6" s="16">
        <v>23.7</v>
      </c>
      <c r="N6" s="16">
        <v>60</v>
      </c>
      <c r="O6" s="7">
        <v>54</v>
      </c>
      <c r="Q6" s="8" t="s">
        <v>33</v>
      </c>
      <c r="R6" s="6">
        <v>26.3</v>
      </c>
      <c r="S6" s="16">
        <v>60</v>
      </c>
      <c r="T6" s="7">
        <v>51</v>
      </c>
      <c r="V6" s="8" t="s">
        <v>1</v>
      </c>
      <c r="W6" s="6">
        <v>189.71</v>
      </c>
      <c r="X6" s="16">
        <v>1128.7</v>
      </c>
      <c r="Y6" s="16">
        <v>3436.3</v>
      </c>
      <c r="Z6" s="16">
        <v>3626</v>
      </c>
      <c r="AA6" s="16">
        <v>4754.7</v>
      </c>
      <c r="AB6" s="15">
        <v>23.7</v>
      </c>
    </row>
    <row r="7" spans="2:28" x14ac:dyDescent="0.3">
      <c r="B7" s="8" t="s">
        <v>2</v>
      </c>
      <c r="C7" s="16">
        <v>232.74</v>
      </c>
      <c r="D7" s="6">
        <v>217.67</v>
      </c>
      <c r="E7" s="6">
        <v>0.93500000000000005</v>
      </c>
      <c r="F7" s="6"/>
      <c r="G7" s="7"/>
      <c r="I7" s="8" t="s">
        <v>2</v>
      </c>
      <c r="J7" s="16">
        <v>1222</v>
      </c>
      <c r="K7" s="6">
        <v>3816</v>
      </c>
      <c r="L7" s="6">
        <v>5038</v>
      </c>
      <c r="M7" s="16">
        <v>24.3</v>
      </c>
      <c r="N7" s="16">
        <v>61</v>
      </c>
      <c r="O7" s="7">
        <v>55</v>
      </c>
      <c r="Q7" s="8" t="s">
        <v>34</v>
      </c>
      <c r="R7" s="16">
        <v>6.81</v>
      </c>
      <c r="S7" s="16">
        <v>56</v>
      </c>
      <c r="T7" s="7">
        <v>47</v>
      </c>
      <c r="V7" s="8" t="s">
        <v>2</v>
      </c>
      <c r="W7" s="16">
        <v>217.67</v>
      </c>
      <c r="X7" s="16">
        <v>1221.9000000000001</v>
      </c>
      <c r="Y7" s="16">
        <v>3598.2</v>
      </c>
      <c r="Z7" s="16">
        <v>3815.8</v>
      </c>
      <c r="AA7" s="16">
        <v>5037.8</v>
      </c>
      <c r="AB7" s="7">
        <v>24.3</v>
      </c>
    </row>
    <row r="8" spans="2:28" x14ac:dyDescent="0.3">
      <c r="B8" s="8" t="s">
        <v>3</v>
      </c>
      <c r="C8" s="16">
        <v>158.65</v>
      </c>
      <c r="D8" s="6">
        <v>102.39</v>
      </c>
      <c r="E8" s="6">
        <v>0.64500000000000002</v>
      </c>
      <c r="F8" s="6"/>
      <c r="G8" s="7"/>
      <c r="I8" s="8" t="s">
        <v>26</v>
      </c>
      <c r="J8" s="16">
        <v>10039</v>
      </c>
      <c r="K8" s="6">
        <v>27090</v>
      </c>
      <c r="L8" s="6">
        <v>37129</v>
      </c>
      <c r="M8" s="16">
        <v>27</v>
      </c>
      <c r="N8" s="16">
        <v>62</v>
      </c>
      <c r="O8" s="7">
        <v>51</v>
      </c>
      <c r="Q8" s="8" t="s">
        <v>35</v>
      </c>
      <c r="R8" s="16">
        <v>1.1200000000000001</v>
      </c>
      <c r="S8" s="6"/>
      <c r="T8" s="7"/>
      <c r="V8" s="8" t="s">
        <v>26</v>
      </c>
      <c r="W8" s="16">
        <v>734.91</v>
      </c>
      <c r="X8" s="6">
        <v>10039.5</v>
      </c>
      <c r="Y8" s="6">
        <v>26354.799999999999</v>
      </c>
      <c r="Z8" s="16">
        <v>27089.7</v>
      </c>
      <c r="AA8" s="16">
        <v>37129.1</v>
      </c>
      <c r="AB8" s="7">
        <v>27</v>
      </c>
    </row>
    <row r="9" spans="2:28" x14ac:dyDescent="0.3">
      <c r="B9" s="8" t="s">
        <v>4</v>
      </c>
      <c r="C9" s="16">
        <v>157.49</v>
      </c>
      <c r="D9" s="16">
        <v>102.8</v>
      </c>
      <c r="E9" s="16">
        <v>0.65300000000000002</v>
      </c>
      <c r="F9" s="6"/>
      <c r="G9" s="7"/>
      <c r="I9" s="8" t="s">
        <v>8</v>
      </c>
      <c r="J9" s="16">
        <v>3364</v>
      </c>
      <c r="K9" s="16">
        <v>9949</v>
      </c>
      <c r="L9" s="16">
        <v>13313</v>
      </c>
      <c r="M9" s="16">
        <v>25.3</v>
      </c>
      <c r="N9" s="16">
        <v>44</v>
      </c>
      <c r="O9" s="7">
        <v>42</v>
      </c>
      <c r="Q9" s="8" t="s">
        <v>36</v>
      </c>
      <c r="R9" s="16">
        <v>1.04</v>
      </c>
      <c r="S9" s="16">
        <v>76</v>
      </c>
      <c r="T9" s="7">
        <v>60</v>
      </c>
      <c r="V9" s="8" t="s">
        <v>8</v>
      </c>
      <c r="W9" s="16">
        <v>474.04</v>
      </c>
      <c r="X9" s="16">
        <v>3364.1</v>
      </c>
      <c r="Y9" s="16">
        <v>9475.1</v>
      </c>
      <c r="Z9" s="16">
        <v>9949.1</v>
      </c>
      <c r="AA9" s="16">
        <v>13313.3</v>
      </c>
      <c r="AB9" s="7">
        <v>25.3</v>
      </c>
    </row>
    <row r="10" spans="2:28" x14ac:dyDescent="0.3">
      <c r="B10" s="8" t="s">
        <v>5</v>
      </c>
      <c r="C10" s="16">
        <v>146.24</v>
      </c>
      <c r="D10" s="16">
        <v>141.51</v>
      </c>
      <c r="E10" s="16">
        <v>0.96799999999999997</v>
      </c>
      <c r="F10" s="6"/>
      <c r="G10" s="7"/>
      <c r="I10" s="8" t="s">
        <v>9</v>
      </c>
      <c r="J10" s="16">
        <v>3458</v>
      </c>
      <c r="K10" s="16">
        <v>9461</v>
      </c>
      <c r="L10" s="16">
        <v>12919</v>
      </c>
      <c r="M10" s="16">
        <v>26.8</v>
      </c>
      <c r="N10" s="16">
        <v>52</v>
      </c>
      <c r="O10" s="7">
        <v>49</v>
      </c>
      <c r="Q10" s="8" t="s">
        <v>37</v>
      </c>
      <c r="R10" s="16">
        <v>1.0900000000000001</v>
      </c>
      <c r="S10" s="16">
        <v>70</v>
      </c>
      <c r="T10" s="7">
        <v>50</v>
      </c>
      <c r="V10" s="8" t="s">
        <v>9</v>
      </c>
      <c r="W10" s="16">
        <v>467.76</v>
      </c>
      <c r="X10" s="16">
        <v>3457.7</v>
      </c>
      <c r="Y10" s="16">
        <v>8993.5</v>
      </c>
      <c r="Z10" s="16">
        <v>9461.2999999999993</v>
      </c>
      <c r="AA10" s="16">
        <v>12918.9</v>
      </c>
      <c r="AB10" s="7">
        <v>26.8</v>
      </c>
    </row>
    <row r="11" spans="2:28" x14ac:dyDescent="0.3">
      <c r="B11" s="8" t="s">
        <v>6</v>
      </c>
      <c r="C11" s="16">
        <v>62.06</v>
      </c>
      <c r="D11" s="16">
        <v>71.959999999999994</v>
      </c>
      <c r="E11" s="16">
        <v>1.159</v>
      </c>
      <c r="F11" s="6"/>
      <c r="G11" s="7"/>
      <c r="I11" s="8" t="s">
        <v>10</v>
      </c>
      <c r="J11" s="16">
        <v>19212</v>
      </c>
      <c r="K11" s="16">
        <v>53942</v>
      </c>
      <c r="L11" s="16">
        <v>73154</v>
      </c>
      <c r="M11" s="16">
        <v>26.3</v>
      </c>
      <c r="N11" s="16">
        <v>57</v>
      </c>
      <c r="O11" s="7">
        <v>49</v>
      </c>
      <c r="Q11" s="8" t="s">
        <v>38</v>
      </c>
      <c r="R11" s="16">
        <v>376</v>
      </c>
      <c r="S11" s="6"/>
      <c r="T11" s="7"/>
      <c r="V11" s="8" t="s">
        <v>10</v>
      </c>
      <c r="W11" s="16">
        <v>2084.09</v>
      </c>
      <c r="X11" s="16">
        <v>19211.900000000001</v>
      </c>
      <c r="Y11" s="16">
        <v>51857.7</v>
      </c>
      <c r="Z11" s="16">
        <v>53941.8</v>
      </c>
      <c r="AA11" s="16">
        <v>73153.7</v>
      </c>
      <c r="AB11" s="7">
        <v>26.3</v>
      </c>
    </row>
    <row r="12" spans="2:28" x14ac:dyDescent="0.3">
      <c r="B12" s="8" t="s">
        <v>7</v>
      </c>
      <c r="C12" s="16">
        <v>237.78</v>
      </c>
      <c r="D12" s="16">
        <v>316.25</v>
      </c>
      <c r="E12" s="16">
        <v>1.33</v>
      </c>
      <c r="F12" s="6"/>
      <c r="G12" s="7"/>
      <c r="I12" s="8" t="s">
        <v>11</v>
      </c>
      <c r="J12" s="16">
        <v>1131</v>
      </c>
      <c r="K12" s="16">
        <v>3128</v>
      </c>
      <c r="L12" s="16">
        <v>4259</v>
      </c>
      <c r="M12" s="16">
        <v>26.6</v>
      </c>
      <c r="N12" s="6"/>
      <c r="O12" s="7"/>
      <c r="Q12" s="8" t="s">
        <v>39</v>
      </c>
      <c r="R12" s="16">
        <v>407</v>
      </c>
      <c r="S12" s="6"/>
      <c r="T12" s="7"/>
      <c r="V12" s="8" t="s">
        <v>11</v>
      </c>
      <c r="W12" s="16">
        <v>321.32</v>
      </c>
      <c r="X12" s="16">
        <v>1131.2</v>
      </c>
      <c r="Y12" s="16">
        <v>2806.5</v>
      </c>
      <c r="Z12" s="16">
        <v>3127.9</v>
      </c>
      <c r="AA12" s="16">
        <v>4259.1000000000004</v>
      </c>
      <c r="AB12" s="7">
        <v>26.6</v>
      </c>
    </row>
    <row r="13" spans="2:28" ht="17.25" thickBot="1" x14ac:dyDescent="0.35">
      <c r="B13" s="8" t="s">
        <v>8</v>
      </c>
      <c r="C13" s="16">
        <v>354.15</v>
      </c>
      <c r="D13" s="16">
        <v>474.04</v>
      </c>
      <c r="E13" s="16">
        <v>1.339</v>
      </c>
      <c r="F13" s="6"/>
      <c r="G13" s="7"/>
      <c r="I13" s="8" t="s">
        <v>12</v>
      </c>
      <c r="J13" s="16">
        <v>20343</v>
      </c>
      <c r="K13" s="16">
        <v>57070</v>
      </c>
      <c r="L13" s="16">
        <v>77413</v>
      </c>
      <c r="M13" s="16">
        <v>26.3</v>
      </c>
      <c r="N13" s="16">
        <v>60</v>
      </c>
      <c r="O13" s="7">
        <v>51</v>
      </c>
      <c r="Q13" s="8" t="s">
        <v>40</v>
      </c>
      <c r="R13" s="16">
        <v>78</v>
      </c>
      <c r="S13" s="6"/>
      <c r="T13" s="7"/>
      <c r="V13" s="11" t="s">
        <v>12</v>
      </c>
      <c r="W13" s="12">
        <v>2405.41</v>
      </c>
      <c r="X13" s="12">
        <v>20343.099999999999</v>
      </c>
      <c r="Y13" s="12">
        <v>54664.3</v>
      </c>
      <c r="Z13" s="12">
        <v>57069.7</v>
      </c>
      <c r="AA13" s="12">
        <v>77412.800000000003</v>
      </c>
      <c r="AB13" s="13">
        <v>26.3</v>
      </c>
    </row>
    <row r="14" spans="2:28" x14ac:dyDescent="0.3">
      <c r="B14" s="8" t="s">
        <v>9</v>
      </c>
      <c r="C14" s="16">
        <v>353.37</v>
      </c>
      <c r="D14" s="16">
        <v>467.76</v>
      </c>
      <c r="E14" s="16">
        <v>1.3240000000000001</v>
      </c>
      <c r="F14" s="6"/>
      <c r="G14" s="7"/>
      <c r="I14" s="8" t="s">
        <v>27</v>
      </c>
      <c r="J14" s="16">
        <v>1758</v>
      </c>
      <c r="K14" s="16">
        <v>4059</v>
      </c>
      <c r="L14" s="16">
        <v>5817</v>
      </c>
      <c r="M14" s="16">
        <v>30.2</v>
      </c>
      <c r="N14" s="6"/>
      <c r="O14" s="7"/>
      <c r="Q14" s="5"/>
      <c r="R14" s="6"/>
      <c r="S14" s="6"/>
      <c r="T14" s="7"/>
    </row>
    <row r="15" spans="2:28" ht="17.25" thickBot="1" x14ac:dyDescent="0.35">
      <c r="B15" s="8" t="s">
        <v>10</v>
      </c>
      <c r="C15" s="16">
        <v>1928.63</v>
      </c>
      <c r="D15" s="16">
        <v>2084.09</v>
      </c>
      <c r="E15" s="16">
        <v>1.081</v>
      </c>
      <c r="F15" s="6"/>
      <c r="G15" s="7"/>
      <c r="I15" s="11" t="s">
        <v>28</v>
      </c>
      <c r="J15" s="12">
        <v>3532</v>
      </c>
      <c r="K15" s="12">
        <v>9547</v>
      </c>
      <c r="L15" s="12">
        <v>13079</v>
      </c>
      <c r="M15" s="12">
        <v>27</v>
      </c>
      <c r="N15" s="12"/>
      <c r="O15" s="13"/>
      <c r="Q15" s="14" t="s">
        <v>41</v>
      </c>
      <c r="R15" s="6"/>
      <c r="S15" s="6"/>
      <c r="T15" s="7"/>
    </row>
    <row r="16" spans="2:28" x14ac:dyDescent="0.3">
      <c r="B16" s="8" t="s">
        <v>11</v>
      </c>
      <c r="C16" s="16">
        <v>213.73</v>
      </c>
      <c r="D16" s="16">
        <v>321.32</v>
      </c>
      <c r="E16" s="16">
        <v>1.5029999999999999</v>
      </c>
      <c r="F16" s="6"/>
      <c r="G16" s="7"/>
      <c r="Q16" s="8" t="s">
        <v>30</v>
      </c>
      <c r="R16" s="9" t="s">
        <v>31</v>
      </c>
      <c r="S16" s="9" t="s">
        <v>32</v>
      </c>
      <c r="T16" s="10" t="s">
        <v>25</v>
      </c>
    </row>
    <row r="17" spans="2:20" ht="17.25" thickBot="1" x14ac:dyDescent="0.35">
      <c r="B17" s="11" t="s">
        <v>12</v>
      </c>
      <c r="C17" s="12">
        <f>SUM(C6:C16)-C15</f>
        <v>2142.35</v>
      </c>
      <c r="D17" s="12">
        <f>SUM(D6:D16)-D15</f>
        <v>2405.41</v>
      </c>
      <c r="E17" s="12">
        <v>1.123</v>
      </c>
      <c r="F17" s="12">
        <v>-0.8</v>
      </c>
      <c r="G17" s="13">
        <v>-0.8</v>
      </c>
      <c r="Q17" s="8" t="s">
        <v>42</v>
      </c>
      <c r="R17" s="6">
        <v>18.3</v>
      </c>
      <c r="S17" s="6">
        <v>46</v>
      </c>
      <c r="T17" s="7">
        <v>41</v>
      </c>
    </row>
    <row r="18" spans="2:20" ht="17.25" thickBot="1" x14ac:dyDescent="0.35">
      <c r="Q18" s="11" t="s">
        <v>43</v>
      </c>
      <c r="R18" s="12">
        <v>8.5399999999999991</v>
      </c>
      <c r="S18" s="12">
        <v>52</v>
      </c>
      <c r="T18" s="13">
        <v>49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18"/>
  <sheetViews>
    <sheetView tabSelected="1" workbookViewId="0">
      <selection activeCell="H8" sqref="H8"/>
    </sheetView>
  </sheetViews>
  <sheetFormatPr defaultRowHeight="16.5" x14ac:dyDescent="0.3"/>
  <cols>
    <col min="2" max="2" width="12.625" customWidth="1"/>
    <col min="3" max="3" width="11.625" bestFit="1" customWidth="1"/>
    <col min="4" max="4" width="8" bestFit="1" customWidth="1"/>
    <col min="5" max="5" width="12.625" bestFit="1" customWidth="1"/>
    <col min="9" max="9" width="15.375" customWidth="1"/>
    <col min="10" max="10" width="12.875" bestFit="1" customWidth="1"/>
    <col min="11" max="11" width="15" bestFit="1" customWidth="1"/>
    <col min="12" max="12" width="16.375" bestFit="1" customWidth="1"/>
    <col min="13" max="13" width="6.875" bestFit="1" customWidth="1"/>
    <col min="14" max="14" width="9.875" bestFit="1" customWidth="1"/>
    <col min="15" max="15" width="16" bestFit="1" customWidth="1"/>
    <col min="17" max="17" width="32.75" customWidth="1"/>
    <col min="19" max="19" width="15.25" bestFit="1" customWidth="1"/>
    <col min="20" max="20" width="16" bestFit="1" customWidth="1"/>
    <col min="22" max="22" width="16.125" customWidth="1"/>
    <col min="24" max="24" width="8.25" bestFit="1" customWidth="1"/>
    <col min="25" max="25" width="17" bestFit="1" customWidth="1"/>
    <col min="26" max="26" width="17.125" bestFit="1" customWidth="1"/>
    <col min="27" max="27" width="17.375" bestFit="1" customWidth="1"/>
  </cols>
  <sheetData>
    <row r="1" spans="2:28" ht="17.25" thickBot="1" x14ac:dyDescent="0.35">
      <c r="B1" s="1">
        <v>46114</v>
      </c>
    </row>
    <row r="2" spans="2:28" x14ac:dyDescent="0.3">
      <c r="B2" s="2" t="s">
        <v>44</v>
      </c>
      <c r="C2" s="3"/>
      <c r="D2" s="3"/>
      <c r="E2" s="3"/>
      <c r="F2" s="3"/>
      <c r="G2" s="4"/>
      <c r="I2" s="2" t="s">
        <v>48</v>
      </c>
      <c r="J2" s="3"/>
      <c r="K2" s="3"/>
      <c r="L2" s="3"/>
      <c r="M2" s="3"/>
      <c r="N2" s="3"/>
      <c r="O2" s="4"/>
      <c r="Q2" s="2" t="s">
        <v>29</v>
      </c>
      <c r="R2" s="3"/>
      <c r="S2" s="3"/>
      <c r="T2" s="4"/>
      <c r="V2" s="2" t="s">
        <v>44</v>
      </c>
      <c r="W2" s="3"/>
      <c r="X2" s="3"/>
      <c r="Y2" s="3"/>
      <c r="Z2" s="3"/>
      <c r="AA2" s="3"/>
      <c r="AB2" s="4"/>
    </row>
    <row r="3" spans="2:28" x14ac:dyDescent="0.3">
      <c r="B3" s="5" t="s">
        <v>18</v>
      </c>
      <c r="C3" s="6">
        <v>173.6</v>
      </c>
      <c r="D3" s="6"/>
      <c r="E3" s="6"/>
      <c r="F3" s="6"/>
      <c r="G3" s="7"/>
      <c r="I3" s="5" t="s">
        <v>18</v>
      </c>
      <c r="J3" s="6">
        <v>173.6</v>
      </c>
      <c r="K3" s="6"/>
      <c r="L3" s="6"/>
      <c r="M3" s="6"/>
      <c r="N3" s="6"/>
      <c r="O3" s="7"/>
      <c r="Q3" s="5" t="s">
        <v>18</v>
      </c>
      <c r="R3" s="6">
        <v>173.6</v>
      </c>
      <c r="S3" s="6"/>
      <c r="T3" s="7"/>
      <c r="V3" s="5" t="s">
        <v>18</v>
      </c>
      <c r="W3" s="6">
        <v>173.6</v>
      </c>
      <c r="X3" s="6"/>
      <c r="Y3" s="6"/>
      <c r="Z3" s="6"/>
      <c r="AA3" s="6"/>
      <c r="AB3" s="7"/>
    </row>
    <row r="4" spans="2:28" x14ac:dyDescent="0.3">
      <c r="B4" s="5" t="s">
        <v>19</v>
      </c>
      <c r="C4" s="6">
        <v>76.3</v>
      </c>
      <c r="D4" s="6"/>
      <c r="E4" s="6"/>
      <c r="F4" s="6"/>
      <c r="G4" s="7"/>
      <c r="I4" s="5" t="s">
        <v>19</v>
      </c>
      <c r="J4" s="6">
        <v>76.3</v>
      </c>
      <c r="K4" s="6"/>
      <c r="L4" s="6"/>
      <c r="M4" s="6"/>
      <c r="N4" s="6"/>
      <c r="O4" s="7"/>
      <c r="Q4" s="5" t="s">
        <v>19</v>
      </c>
      <c r="R4" s="6">
        <v>76.3</v>
      </c>
      <c r="S4" s="6"/>
      <c r="T4" s="7"/>
      <c r="V4" s="5" t="s">
        <v>19</v>
      </c>
      <c r="W4" s="6">
        <v>76.3</v>
      </c>
      <c r="X4" s="6"/>
      <c r="Y4" s="6"/>
      <c r="Z4" s="6"/>
      <c r="AA4" s="6"/>
      <c r="AB4" s="7"/>
    </row>
    <row r="5" spans="2:28" x14ac:dyDescent="0.3">
      <c r="B5" s="8" t="s">
        <v>0</v>
      </c>
      <c r="C5" s="9" t="s">
        <v>13</v>
      </c>
      <c r="D5" s="9" t="s">
        <v>14</v>
      </c>
      <c r="E5" s="9" t="s">
        <v>15</v>
      </c>
      <c r="F5" s="9" t="s">
        <v>16</v>
      </c>
      <c r="G5" s="10" t="s">
        <v>17</v>
      </c>
      <c r="I5" s="8" t="s">
        <v>0</v>
      </c>
      <c r="J5" s="9" t="s">
        <v>20</v>
      </c>
      <c r="K5" s="9" t="s">
        <v>21</v>
      </c>
      <c r="L5" s="9" t="s">
        <v>22</v>
      </c>
      <c r="M5" s="9" t="s">
        <v>23</v>
      </c>
      <c r="N5" s="9" t="s">
        <v>24</v>
      </c>
      <c r="O5" s="10" t="s">
        <v>25</v>
      </c>
      <c r="Q5" s="8" t="s">
        <v>30</v>
      </c>
      <c r="R5" s="9" t="s">
        <v>31</v>
      </c>
      <c r="S5" s="9" t="s">
        <v>32</v>
      </c>
      <c r="T5" s="10" t="s">
        <v>25</v>
      </c>
      <c r="V5" s="8" t="s">
        <v>0</v>
      </c>
      <c r="W5" s="9" t="s">
        <v>14</v>
      </c>
      <c r="X5" s="9" t="s">
        <v>45</v>
      </c>
      <c r="Y5" s="9" t="s">
        <v>46</v>
      </c>
      <c r="Z5" s="9" t="s">
        <v>47</v>
      </c>
      <c r="AA5" s="9" t="s">
        <v>22</v>
      </c>
      <c r="AB5" s="10" t="s">
        <v>23</v>
      </c>
    </row>
    <row r="6" spans="2:28" x14ac:dyDescent="0.3">
      <c r="B6" s="8" t="s">
        <v>1</v>
      </c>
      <c r="C6" s="6">
        <v>217.22</v>
      </c>
      <c r="D6" s="6">
        <v>180.52</v>
      </c>
      <c r="E6" s="6">
        <v>0.83099999999999996</v>
      </c>
      <c r="F6" s="6"/>
      <c r="G6" s="7"/>
      <c r="I6" s="8" t="s">
        <v>1</v>
      </c>
      <c r="J6" s="6">
        <v>1036</v>
      </c>
      <c r="K6" s="6">
        <v>3375</v>
      </c>
      <c r="L6" s="6">
        <v>4412</v>
      </c>
      <c r="M6" s="16">
        <v>23.5</v>
      </c>
      <c r="N6" s="16">
        <v>58</v>
      </c>
      <c r="O6" s="7">
        <v>52</v>
      </c>
      <c r="Q6" s="8" t="s">
        <v>33</v>
      </c>
      <c r="R6" s="6">
        <v>25.1</v>
      </c>
      <c r="S6" s="16">
        <v>52</v>
      </c>
      <c r="T6" s="7">
        <v>42</v>
      </c>
      <c r="V6" s="8" t="s">
        <v>1</v>
      </c>
      <c r="W6" s="6">
        <v>180.52</v>
      </c>
      <c r="X6" s="16">
        <v>1036.4000000000001</v>
      </c>
      <c r="Y6" s="16">
        <v>3194.6</v>
      </c>
      <c r="Z6" s="16">
        <v>3375.1</v>
      </c>
      <c r="AA6" s="16">
        <v>4411.5</v>
      </c>
      <c r="AB6" s="15">
        <v>23.5</v>
      </c>
    </row>
    <row r="7" spans="2:28" x14ac:dyDescent="0.3">
      <c r="B7" s="8" t="s">
        <v>2</v>
      </c>
      <c r="C7" s="16">
        <v>239.33</v>
      </c>
      <c r="D7" s="6">
        <v>219.26</v>
      </c>
      <c r="E7" s="6">
        <v>0.91600000000000004</v>
      </c>
      <c r="F7" s="6"/>
      <c r="G7" s="7"/>
      <c r="I7" s="8" t="s">
        <v>2</v>
      </c>
      <c r="J7" s="16">
        <v>1255</v>
      </c>
      <c r="K7" s="6">
        <v>3756</v>
      </c>
      <c r="L7" s="6">
        <v>5011</v>
      </c>
      <c r="M7" s="16">
        <v>25.1</v>
      </c>
      <c r="N7" s="16">
        <v>66</v>
      </c>
      <c r="O7" s="7">
        <v>59</v>
      </c>
      <c r="Q7" s="8" t="s">
        <v>34</v>
      </c>
      <c r="R7" s="16">
        <v>6.18</v>
      </c>
      <c r="S7" s="16">
        <v>47</v>
      </c>
      <c r="T7" s="7">
        <v>38</v>
      </c>
      <c r="V7" s="8" t="s">
        <v>2</v>
      </c>
      <c r="W7" s="16">
        <v>219.26</v>
      </c>
      <c r="X7" s="16">
        <v>1255.4000000000001</v>
      </c>
      <c r="Y7" s="16">
        <v>3536.3</v>
      </c>
      <c r="Z7" s="16">
        <v>3755.5</v>
      </c>
      <c r="AA7" s="16">
        <v>5010.8999999999996</v>
      </c>
      <c r="AB7" s="7">
        <v>25.1</v>
      </c>
    </row>
    <row r="8" spans="2:28" x14ac:dyDescent="0.3">
      <c r="B8" s="8" t="s">
        <v>3</v>
      </c>
      <c r="C8" s="16">
        <v>137.69999999999999</v>
      </c>
      <c r="D8" s="6">
        <v>89.75</v>
      </c>
      <c r="E8" s="6">
        <v>0.65200000000000002</v>
      </c>
      <c r="F8" s="6"/>
      <c r="G8" s="7"/>
      <c r="I8" s="8" t="s">
        <v>26</v>
      </c>
      <c r="J8" s="16">
        <v>9135</v>
      </c>
      <c r="K8" s="6">
        <v>26573</v>
      </c>
      <c r="L8" s="6">
        <v>35708</v>
      </c>
      <c r="M8" s="16">
        <v>25.6</v>
      </c>
      <c r="N8" s="16">
        <v>54</v>
      </c>
      <c r="O8" s="7">
        <v>43</v>
      </c>
      <c r="Q8" s="8" t="s">
        <v>35</v>
      </c>
      <c r="R8" s="16">
        <v>1.21</v>
      </c>
      <c r="S8" s="6"/>
      <c r="T8" s="7"/>
      <c r="V8" s="8" t="s">
        <v>26</v>
      </c>
      <c r="W8" s="16">
        <v>717.92</v>
      </c>
      <c r="X8" s="6">
        <v>9134.7999999999993</v>
      </c>
      <c r="Y8" s="6">
        <v>25855.5</v>
      </c>
      <c r="Z8" s="16">
        <v>26573.4</v>
      </c>
      <c r="AA8" s="16">
        <v>35708.199999999997</v>
      </c>
      <c r="AB8" s="7">
        <v>25.6</v>
      </c>
    </row>
    <row r="9" spans="2:28" x14ac:dyDescent="0.3">
      <c r="B9" s="8" t="s">
        <v>4</v>
      </c>
      <c r="C9" s="16">
        <v>151.28</v>
      </c>
      <c r="D9" s="16">
        <v>91.95</v>
      </c>
      <c r="E9" s="16">
        <v>0.60799999999999998</v>
      </c>
      <c r="F9" s="6"/>
      <c r="G9" s="7"/>
      <c r="I9" s="8" t="s">
        <v>8</v>
      </c>
      <c r="J9" s="16">
        <v>2936</v>
      </c>
      <c r="K9" s="6">
        <v>9427</v>
      </c>
      <c r="L9" s="16">
        <v>12363</v>
      </c>
      <c r="M9" s="16">
        <v>23.7</v>
      </c>
      <c r="N9" s="16">
        <v>35</v>
      </c>
      <c r="O9" s="7">
        <v>32</v>
      </c>
      <c r="Q9" s="8" t="s">
        <v>36</v>
      </c>
      <c r="R9" s="16">
        <v>1.05</v>
      </c>
      <c r="S9" s="16">
        <v>78</v>
      </c>
      <c r="T9" s="7">
        <v>62</v>
      </c>
      <c r="V9" s="8" t="s">
        <v>8</v>
      </c>
      <c r="W9" s="16">
        <v>492.48</v>
      </c>
      <c r="X9" s="16">
        <v>2935.9</v>
      </c>
      <c r="Y9" s="16">
        <v>8935</v>
      </c>
      <c r="Z9" s="16">
        <v>9427.5</v>
      </c>
      <c r="AA9" s="16">
        <v>12363.4</v>
      </c>
      <c r="AB9" s="7">
        <v>23.7</v>
      </c>
    </row>
    <row r="10" spans="2:28" x14ac:dyDescent="0.3">
      <c r="B10" s="8" t="s">
        <v>5</v>
      </c>
      <c r="C10" s="16">
        <v>171.45</v>
      </c>
      <c r="D10" s="16">
        <v>148.85</v>
      </c>
      <c r="E10" s="16">
        <v>0.86799999999999999</v>
      </c>
      <c r="F10" s="6"/>
      <c r="G10" s="7"/>
      <c r="I10" s="8" t="s">
        <v>9</v>
      </c>
      <c r="J10" s="16">
        <v>3091</v>
      </c>
      <c r="K10" s="6">
        <v>9338</v>
      </c>
      <c r="L10" s="16">
        <v>12429</v>
      </c>
      <c r="M10" s="16">
        <v>24.9</v>
      </c>
      <c r="N10" s="16">
        <v>40</v>
      </c>
      <c r="O10" s="7">
        <v>37</v>
      </c>
      <c r="Q10" s="8" t="s">
        <v>37</v>
      </c>
      <c r="R10" s="16">
        <v>1.1000000000000001</v>
      </c>
      <c r="S10" s="16">
        <v>71</v>
      </c>
      <c r="T10" s="7">
        <v>50</v>
      </c>
      <c r="V10" s="8" t="s">
        <v>9</v>
      </c>
      <c r="W10" s="16">
        <v>508.52</v>
      </c>
      <c r="X10" s="16">
        <v>3091.1</v>
      </c>
      <c r="Y10" s="16">
        <v>8829.6</v>
      </c>
      <c r="Z10" s="16">
        <v>9338.1</v>
      </c>
      <c r="AA10" s="16">
        <v>12429.2</v>
      </c>
      <c r="AB10" s="7">
        <v>24.9</v>
      </c>
    </row>
    <row r="11" spans="2:28" x14ac:dyDescent="0.3">
      <c r="B11" s="8" t="s">
        <v>6</v>
      </c>
      <c r="C11" s="16">
        <v>66.33</v>
      </c>
      <c r="D11" s="16">
        <v>69.09</v>
      </c>
      <c r="E11" s="16">
        <v>1.042</v>
      </c>
      <c r="F11" s="6"/>
      <c r="G11" s="7"/>
      <c r="I11" s="8" t="s">
        <v>10</v>
      </c>
      <c r="J11" s="16">
        <v>17454</v>
      </c>
      <c r="K11" s="6">
        <v>52470</v>
      </c>
      <c r="L11" s="16">
        <v>69923</v>
      </c>
      <c r="M11" s="16">
        <v>25</v>
      </c>
      <c r="N11" s="16">
        <v>49</v>
      </c>
      <c r="O11" s="7">
        <v>40</v>
      </c>
      <c r="Q11" s="8" t="s">
        <v>38</v>
      </c>
      <c r="R11" s="16">
        <v>381</v>
      </c>
      <c r="S11" s="6"/>
      <c r="T11" s="7"/>
      <c r="V11" s="8" t="s">
        <v>10</v>
      </c>
      <c r="W11" s="16">
        <v>2118.6999999999998</v>
      </c>
      <c r="X11" s="16">
        <v>17453.599999999999</v>
      </c>
      <c r="Y11" s="16">
        <v>50350.9</v>
      </c>
      <c r="Z11" s="16">
        <v>52469.599999999999</v>
      </c>
      <c r="AA11" s="16">
        <v>69923.199999999997</v>
      </c>
      <c r="AB11" s="7">
        <v>25</v>
      </c>
    </row>
    <row r="12" spans="2:28" x14ac:dyDescent="0.3">
      <c r="B12" s="8" t="s">
        <v>7</v>
      </c>
      <c r="C12" s="16">
        <v>245.93</v>
      </c>
      <c r="D12" s="16">
        <v>318.27</v>
      </c>
      <c r="E12" s="16">
        <v>1.294</v>
      </c>
      <c r="F12" s="6"/>
      <c r="G12" s="7"/>
      <c r="I12" s="8" t="s">
        <v>11</v>
      </c>
      <c r="J12" s="16">
        <v>1168</v>
      </c>
      <c r="K12" s="6">
        <v>3243</v>
      </c>
      <c r="L12" s="16">
        <v>4412</v>
      </c>
      <c r="M12" s="16">
        <v>26.5</v>
      </c>
      <c r="N12" s="6"/>
      <c r="O12" s="7"/>
      <c r="Q12" s="8" t="s">
        <v>39</v>
      </c>
      <c r="R12" s="16">
        <v>411</v>
      </c>
      <c r="S12" s="6"/>
      <c r="T12" s="7"/>
      <c r="V12" s="8" t="s">
        <v>11</v>
      </c>
      <c r="W12" s="16">
        <v>328.9</v>
      </c>
      <c r="X12" s="16">
        <v>1168.3</v>
      </c>
      <c r="Y12" s="16">
        <v>2914.4</v>
      </c>
      <c r="Z12" s="16">
        <v>3243.3</v>
      </c>
      <c r="AA12" s="16">
        <v>4411.6000000000004</v>
      </c>
      <c r="AB12" s="7">
        <v>26.5</v>
      </c>
    </row>
    <row r="13" spans="2:28" ht="17.25" thickBot="1" x14ac:dyDescent="0.35">
      <c r="B13" s="8" t="s">
        <v>8</v>
      </c>
      <c r="C13" s="16">
        <v>351.44</v>
      </c>
      <c r="D13" s="16">
        <v>492.48</v>
      </c>
      <c r="E13" s="18">
        <v>1.401</v>
      </c>
      <c r="F13" s="6"/>
      <c r="G13" s="7"/>
      <c r="I13" s="8" t="s">
        <v>12</v>
      </c>
      <c r="J13" s="16">
        <v>18622</v>
      </c>
      <c r="K13" s="6">
        <v>55713</v>
      </c>
      <c r="L13" s="16">
        <v>74335</v>
      </c>
      <c r="M13" s="16">
        <v>25.1</v>
      </c>
      <c r="N13" s="16">
        <v>52</v>
      </c>
      <c r="O13" s="7">
        <v>42</v>
      </c>
      <c r="Q13" s="8" t="s">
        <v>40</v>
      </c>
      <c r="R13" s="16">
        <v>78.900000000000006</v>
      </c>
      <c r="S13" s="6"/>
      <c r="T13" s="7"/>
      <c r="V13" s="11" t="s">
        <v>12</v>
      </c>
      <c r="W13" s="12">
        <v>2447.6</v>
      </c>
      <c r="X13" s="12">
        <v>18621.900000000001</v>
      </c>
      <c r="Y13" s="12">
        <v>53265.4</v>
      </c>
      <c r="Z13" s="12">
        <v>55712.9</v>
      </c>
      <c r="AA13" s="12">
        <v>74334.8</v>
      </c>
      <c r="AB13" s="13">
        <v>25.1</v>
      </c>
    </row>
    <row r="14" spans="2:28" x14ac:dyDescent="0.3">
      <c r="B14" s="8" t="s">
        <v>9</v>
      </c>
      <c r="C14" s="16">
        <v>362.3</v>
      </c>
      <c r="D14" s="16">
        <v>508.52</v>
      </c>
      <c r="E14" s="16">
        <v>1.4039999999999999</v>
      </c>
      <c r="F14" s="6"/>
      <c r="G14" s="7"/>
      <c r="I14" s="8" t="s">
        <v>27</v>
      </c>
      <c r="J14" s="16">
        <v>1536</v>
      </c>
      <c r="K14" s="6">
        <v>3728</v>
      </c>
      <c r="L14" s="16">
        <v>5264</v>
      </c>
      <c r="M14" s="16">
        <v>29.2</v>
      </c>
      <c r="N14" s="6"/>
      <c r="O14" s="7"/>
      <c r="Q14" s="5"/>
      <c r="R14" s="6"/>
      <c r="S14" s="6"/>
      <c r="T14" s="7"/>
    </row>
    <row r="15" spans="2:28" ht="17.25" thickBot="1" x14ac:dyDescent="0.35">
      <c r="B15" s="8" t="s">
        <v>10</v>
      </c>
      <c r="C15" s="16">
        <v>1942.98</v>
      </c>
      <c r="D15" s="16">
        <v>2118.6999999999998</v>
      </c>
      <c r="E15" s="16">
        <v>1.0900000000000001</v>
      </c>
      <c r="F15" s="6"/>
      <c r="G15" s="7"/>
      <c r="I15" s="11" t="s">
        <v>28</v>
      </c>
      <c r="J15" s="12">
        <v>3013</v>
      </c>
      <c r="K15" s="12">
        <v>9495</v>
      </c>
      <c r="L15" s="12">
        <v>12508</v>
      </c>
      <c r="M15" s="12">
        <v>24.1</v>
      </c>
      <c r="N15" s="12"/>
      <c r="O15" s="13"/>
      <c r="Q15" s="14" t="s">
        <v>41</v>
      </c>
      <c r="R15" s="6"/>
      <c r="S15" s="6"/>
      <c r="T15" s="7"/>
    </row>
    <row r="16" spans="2:28" x14ac:dyDescent="0.3">
      <c r="B16" s="8" t="s">
        <v>11</v>
      </c>
      <c r="C16" s="16">
        <v>222.65</v>
      </c>
      <c r="D16" s="16">
        <v>328.9</v>
      </c>
      <c r="E16" s="16">
        <v>1.4770000000000001</v>
      </c>
      <c r="F16" s="6"/>
      <c r="G16" s="7"/>
      <c r="Q16" s="8" t="s">
        <v>30</v>
      </c>
      <c r="R16" s="9" t="s">
        <v>31</v>
      </c>
      <c r="S16" s="9" t="s">
        <v>32</v>
      </c>
      <c r="T16" s="10" t="s">
        <v>25</v>
      </c>
    </row>
    <row r="17" spans="2:20" ht="17.25" thickBot="1" x14ac:dyDescent="0.35">
      <c r="B17" s="11" t="s">
        <v>12</v>
      </c>
      <c r="C17" s="12">
        <f>SUM(C6:C16)-C15</f>
        <v>2165.6299999999997</v>
      </c>
      <c r="D17" s="12">
        <f>SUM(D6:D16)-D15</f>
        <v>2447.5899999999992</v>
      </c>
      <c r="E17" s="12">
        <v>1.1299999999999999</v>
      </c>
      <c r="F17" s="12">
        <v>-0.7</v>
      </c>
      <c r="G17" s="13">
        <v>-0.7</v>
      </c>
      <c r="Q17" s="8" t="s">
        <v>42</v>
      </c>
      <c r="R17" s="6">
        <v>17.7</v>
      </c>
      <c r="S17" s="6">
        <v>36</v>
      </c>
      <c r="T17" s="7">
        <v>30</v>
      </c>
    </row>
    <row r="18" spans="2:20" ht="17.25" thickBot="1" x14ac:dyDescent="0.35">
      <c r="Q18" s="11" t="s">
        <v>43</v>
      </c>
      <c r="R18" s="12">
        <v>8.1300000000000008</v>
      </c>
      <c r="S18" s="12">
        <v>39</v>
      </c>
      <c r="T18" s="13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27MAY2025</vt:lpstr>
      <vt:lpstr>26AUG2025</vt:lpstr>
      <vt:lpstr>19DEC2025</vt:lpstr>
      <vt:lpstr>02APR2026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geolab</dc:creator>
  <cp:lastModifiedBy>geolab</cp:lastModifiedBy>
  <dcterms:created xsi:type="dcterms:W3CDTF">2026-04-03T10:21:04Z</dcterms:created>
  <dcterms:modified xsi:type="dcterms:W3CDTF">2026-04-03T11:43:01Z</dcterms:modified>
</cp:coreProperties>
</file>